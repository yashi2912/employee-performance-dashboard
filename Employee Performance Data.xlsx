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https://d.docs.live.net/46B12ED5766DB3E6/Documents/"/>
    </mc:Choice>
  </mc:AlternateContent>
  <xr:revisionPtr revIDLastSave="1157" documentId="8_{08222C32-9BEE-4957-B00A-6FEC89372F84}" xr6:coauthVersionLast="47" xr6:coauthVersionMax="47" xr10:uidLastSave="{A607AF22-DF5C-42E0-A296-C3D5E3283A15}"/>
  <bookViews>
    <workbookView xWindow="-108" yWindow="-108" windowWidth="23256" windowHeight="13896" activeTab="1" xr2:uid="{2441546F-0E30-42C6-A918-FFE81DA238D1}"/>
  </bookViews>
  <sheets>
    <sheet name="Pivot Table" sheetId="2" r:id="rId1"/>
    <sheet name="Dashboard" sheetId="7" r:id="rId2"/>
    <sheet name="Data" sheetId="1" r:id="rId3"/>
  </sheets>
  <definedNames>
    <definedName name="_xlnm._FilterDatabase" localSheetId="2" hidden="1">Data!$A$1:$R$90</definedName>
    <definedName name="_xlchart.v5.0" hidden="1">'Pivot Table'!$H$19</definedName>
    <definedName name="_xlchart.v5.1" hidden="1">'Pivot Table'!$H$20:$H$24</definedName>
    <definedName name="_xlchart.v5.2" hidden="1">'Pivot Table'!$I$19</definedName>
    <definedName name="_xlchart.v5.3" hidden="1">'Pivot Table'!$I$20:$I$24</definedName>
    <definedName name="Slicer_Department">#N/A</definedName>
    <definedName name="Slicer_Performance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2" l="1"/>
  <c r="B27" i="2"/>
  <c r="B26" i="2"/>
  <c r="B25" i="2"/>
  <c r="B24" i="2"/>
  <c r="I23" i="2"/>
  <c r="I22" i="2"/>
  <c r="I21" i="2"/>
  <c r="I20" i="2"/>
</calcChain>
</file>

<file path=xl/sharedStrings.xml><?xml version="1.0" encoding="utf-8"?>
<sst xmlns="http://schemas.openxmlformats.org/spreadsheetml/2006/main" count="720" uniqueCount="97">
  <si>
    <t>Date</t>
  </si>
  <si>
    <t>Month</t>
  </si>
  <si>
    <t>Emp ID</t>
  </si>
  <si>
    <t>Employee Name</t>
  </si>
  <si>
    <t>Department</t>
  </si>
  <si>
    <t>Region</t>
  </si>
  <si>
    <t>Working Days</t>
  </si>
  <si>
    <t>Attendance Status</t>
  </si>
  <si>
    <t>Target Tasks</t>
  </si>
  <si>
    <t>Completed Tasks</t>
  </si>
  <si>
    <t>Pending Tasks</t>
  </si>
  <si>
    <t>Target Hours</t>
  </si>
  <si>
    <t>Actual Hours</t>
  </si>
  <si>
    <t>Overtime Hours</t>
  </si>
  <si>
    <t>Productivity %</t>
  </si>
  <si>
    <t>Quality Score %</t>
  </si>
  <si>
    <t>Achievement %</t>
  </si>
  <si>
    <t>Performance Status</t>
  </si>
  <si>
    <t>Jan</t>
  </si>
  <si>
    <t>EMP001</t>
  </si>
  <si>
    <t>James Smith</t>
  </si>
  <si>
    <t>Sales</t>
  </si>
  <si>
    <t>California</t>
  </si>
  <si>
    <t>Present</t>
  </si>
  <si>
    <t>High Performer</t>
  </si>
  <si>
    <t>EMP002</t>
  </si>
  <si>
    <t>Mary Johnson</t>
  </si>
  <si>
    <t>Texas</t>
  </si>
  <si>
    <t>Leave</t>
  </si>
  <si>
    <t>EMP003</t>
  </si>
  <si>
    <t>Robert Williams</t>
  </si>
  <si>
    <t>Marketing</t>
  </si>
  <si>
    <t>Florida</t>
  </si>
  <si>
    <t>EMP004</t>
  </si>
  <si>
    <t>Jennifer Brown</t>
  </si>
  <si>
    <t>EMP005</t>
  </si>
  <si>
    <t>Michael Jones</t>
  </si>
  <si>
    <t>Finance</t>
  </si>
  <si>
    <t>New York</t>
  </si>
  <si>
    <t>EMP006</t>
  </si>
  <si>
    <t>Linda Garcia</t>
  </si>
  <si>
    <t>EMP007</t>
  </si>
  <si>
    <t>David Miller</t>
  </si>
  <si>
    <t>HR</t>
  </si>
  <si>
    <t>EMP008</t>
  </si>
  <si>
    <t>Sarah Davis</t>
  </si>
  <si>
    <t>Work From Home</t>
  </si>
  <si>
    <t>EMP009</t>
  </si>
  <si>
    <t>John Rodriguez</t>
  </si>
  <si>
    <t>Operations</t>
  </si>
  <si>
    <t>On Track</t>
  </si>
  <si>
    <t>EMP010</t>
  </si>
  <si>
    <t>Emily Martinez</t>
  </si>
  <si>
    <t>EMP012</t>
  </si>
  <si>
    <t>Jessica Lopez</t>
  </si>
  <si>
    <t>IT</t>
  </si>
  <si>
    <t>EMP013</t>
  </si>
  <si>
    <t>Christopher Wilson</t>
  </si>
  <si>
    <t>EMP014</t>
  </si>
  <si>
    <t>Amanda Anderson</t>
  </si>
  <si>
    <t>EMP015</t>
  </si>
  <si>
    <t>Matthew Taylor</t>
  </si>
  <si>
    <t>EMP016</t>
  </si>
  <si>
    <t>Ashley Thomas</t>
  </si>
  <si>
    <t>Feb</t>
  </si>
  <si>
    <t>EMP017</t>
  </si>
  <si>
    <t>Andrew Moore</t>
  </si>
  <si>
    <t>EMP018</t>
  </si>
  <si>
    <t>Olivia Jackson</t>
  </si>
  <si>
    <t>EMP020</t>
  </si>
  <si>
    <t>Sophia Lee</t>
  </si>
  <si>
    <t>Mar</t>
  </si>
  <si>
    <t>EMP011</t>
  </si>
  <si>
    <t>Daniel Hernandez</t>
  </si>
  <si>
    <t>Needs Improvement</t>
  </si>
  <si>
    <t>Apr</t>
  </si>
  <si>
    <t>EMP019</t>
  </si>
  <si>
    <t>Joshua Martin</t>
  </si>
  <si>
    <t>May</t>
  </si>
  <si>
    <t>Jun</t>
  </si>
  <si>
    <t>Jul</t>
  </si>
  <si>
    <t>Grand Total</t>
  </si>
  <si>
    <t>Average of Achievement %</t>
  </si>
  <si>
    <t>Average of Productivity %</t>
  </si>
  <si>
    <t>Average of Quality Score %</t>
  </si>
  <si>
    <t>Sum of Completed Tasks</t>
  </si>
  <si>
    <t>Sum of Pending Tasks</t>
  </si>
  <si>
    <t>Count of Emp ID</t>
  </si>
  <si>
    <t>Attendence Status</t>
  </si>
  <si>
    <t>State</t>
  </si>
  <si>
    <t>KPI</t>
  </si>
  <si>
    <t>Value</t>
  </si>
  <si>
    <t>Total Employee</t>
  </si>
  <si>
    <t>Avg Productivity %</t>
  </si>
  <si>
    <t>Avg Achievement %</t>
  </si>
  <si>
    <t>Total Completed Task</t>
  </si>
  <si>
    <t>Avg Quality Score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</si>
</sst>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Aptos Narrow"/>
      <family val="2"/>
      <scheme val="minor"/>
    </font>
    <font>
      <b/>
      <sz val="11"/>
      <color rgb="FFFFFFFF"/>
      <name val="Calibri"/>
    </font>
    <font>
      <b/>
      <sz val="11"/>
      <color rgb="FFFFFFFF"/>
      <name val="Calibri"/>
      <family val="2"/>
    </font>
    <font>
      <sz val="11"/>
      <color rgb="FF000000"/>
      <name val="Calibri"/>
      <family val="2"/>
    </font>
  </fonts>
  <fills count="4">
    <fill>
      <patternFill patternType="none"/>
    </fill>
    <fill>
      <patternFill patternType="gray125"/>
    </fill>
    <fill>
      <patternFill patternType="solid">
        <fgColor rgb="FF1F4E78"/>
        <bgColor rgb="FF000000"/>
      </patternFill>
    </fill>
    <fill>
      <patternFill patternType="solid">
        <fgColor theme="0" tint="-4.9989318521683403E-2"/>
        <bgColor indexed="64"/>
      </patternFill>
    </fill>
  </fills>
  <borders count="3">
    <border>
      <left/>
      <right/>
      <top/>
      <bottom/>
      <diagonal/>
    </border>
    <border>
      <left/>
      <right/>
      <top/>
      <bottom style="thin">
        <color rgb="FFD9E2F3"/>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15" fontId="3" fillId="0" borderId="1" xfId="0" applyNumberFormat="1" applyFont="1" applyBorder="1"/>
    <xf numFmtId="0" fontId="3" fillId="0" borderId="1" xfId="0" applyFont="1" applyBorder="1"/>
    <xf numFmtId="10" fontId="3" fillId="0" borderId="1" xfId="0" applyNumberFormat="1" applyFont="1" applyBorder="1"/>
    <xf numFmtId="15" fontId="3" fillId="0" borderId="0" xfId="0" applyNumberFormat="1" applyFont="1"/>
    <xf numFmtId="0" fontId="3" fillId="0" borderId="0" xfId="0" applyFont="1"/>
    <xf numFmtId="10" fontId="3" fillId="0" borderId="0" xfId="0" applyNumberFormat="1" applyFont="1"/>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 fontId="0" fillId="0" borderId="0" xfId="0" applyNumberFormat="1"/>
    <xf numFmtId="0" fontId="0" fillId="0" borderId="2" xfId="0" applyBorder="1" applyAlignment="1">
      <alignment horizontal="left"/>
    </xf>
    <xf numFmtId="0" fontId="0" fillId="0" borderId="2" xfId="0" applyBorder="1"/>
    <xf numFmtId="164" fontId="0" fillId="0" borderId="2" xfId="0" applyNumberFormat="1" applyBorder="1"/>
    <xf numFmtId="0" fontId="0" fillId="3" borderId="0" xfId="0" applyFill="1"/>
    <xf numFmtId="0" fontId="0" fillId="0" borderId="0" xfId="0" applyNumberFormat="1"/>
  </cellXfs>
  <cellStyles count="1">
    <cellStyle name="Normal" xfId="0" builtinId="0"/>
  </cellStyles>
  <dxfs count="201">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4" formatCode="0.00%"/>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4" formatCode="0.00%"/>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4" formatCode="0.00%"/>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border diagonalUp="0" diagonalDown="0">
        <left/>
        <right/>
        <top/>
        <bottom style="thin">
          <color rgb="FFD9E2F3"/>
        </bottom>
        <vertical/>
        <horizontal/>
      </border>
    </dxf>
    <dxf>
      <font>
        <b val="0"/>
        <i val="0"/>
        <strike val="0"/>
        <condense val="0"/>
        <extend val="0"/>
        <outline val="0"/>
        <shadow val="0"/>
        <u val="none"/>
        <vertAlign val="baseline"/>
        <sz val="11"/>
        <color rgb="FF000000"/>
        <name val="Calibri"/>
        <family val="2"/>
        <scheme val="none"/>
      </font>
      <numFmt numFmtId="165" formatCode="dd\-mmm\-yy"/>
      <border diagonalUp="0" diagonalDown="0">
        <left/>
        <right/>
        <top/>
        <bottom style="thin">
          <color rgb="FFD9E2F3"/>
        </bottom>
        <vertical/>
        <horizontal/>
      </border>
    </dxf>
    <dxf>
      <border outline="0">
        <top style="thin">
          <color indexed="64"/>
        </top>
        <bottom style="thin">
          <color rgb="FFD9E2F3"/>
        </bottom>
      </border>
    </dxf>
    <dxf>
      <font>
        <b val="0"/>
        <i val="0"/>
        <strike val="0"/>
        <condense val="0"/>
        <extend val="0"/>
        <outline val="0"/>
        <shadow val="0"/>
        <u val="none"/>
        <vertAlign val="baseline"/>
        <sz val="11"/>
        <color rgb="FF000000"/>
        <name val="Calibri"/>
        <family val="2"/>
        <scheme val="none"/>
      </font>
    </dxf>
    <dxf>
      <font>
        <b/>
        <i val="0"/>
        <strike val="0"/>
        <condense val="0"/>
        <extend val="0"/>
        <outline val="0"/>
        <shadow val="0"/>
        <u val="none"/>
        <vertAlign val="baseline"/>
        <sz val="11"/>
        <color rgb="FFFFFFFF"/>
        <name val="Calibri"/>
        <scheme val="none"/>
      </font>
      <fill>
        <patternFill patternType="solid">
          <fgColor rgb="FF000000"/>
          <bgColor rgb="FF1F4E78"/>
        </patternFill>
      </fill>
      <alignment horizontal="left" vertical="center" textRotation="0" wrapText="1" indent="0" justifyLastLine="0" shrinkToFit="0" readingOrder="0"/>
      <border diagonalUp="0" diagonalDown="0" outline="0">
        <left style="thin">
          <color indexed="64"/>
        </left>
        <right style="thin">
          <color indexed="64"/>
        </right>
        <top/>
        <bottom/>
      </border>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s>
  <tableStyles count="1" defaultTableStyle="TableStyleMedium2" defaultPivotStyle="PivotStyleLight16">
    <tableStyle name="Invisible" pivot="0" table="0" count="0" xr9:uid="{DB09B08A-DBA4-42F4-96B3-0227CC5A66E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Performance Data.xlsx]Pivot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AVG.</a:t>
            </a:r>
            <a:r>
              <a:rPr lang="en-US" sz="1400" b="1" baseline="0"/>
              <a:t>ACHIEVEMENT BY DEPT</a:t>
            </a:r>
            <a:r>
              <a:rPr lang="en-US"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Finance</c:v>
                </c:pt>
                <c:pt idx="1">
                  <c:v>HR</c:v>
                </c:pt>
                <c:pt idx="2">
                  <c:v>IT</c:v>
                </c:pt>
                <c:pt idx="3">
                  <c:v>Marketing</c:v>
                </c:pt>
                <c:pt idx="4">
                  <c:v>Operations</c:v>
                </c:pt>
                <c:pt idx="5">
                  <c:v>Sales</c:v>
                </c:pt>
              </c:strCache>
            </c:strRef>
          </c:cat>
          <c:val>
            <c:numRef>
              <c:f>'Pivot Table'!$B$4:$B$10</c:f>
              <c:numCache>
                <c:formatCode>0.0%</c:formatCode>
                <c:ptCount val="6"/>
                <c:pt idx="0">
                  <c:v>0.92128571428571437</c:v>
                </c:pt>
                <c:pt idx="1">
                  <c:v>0.90971428571428581</c:v>
                </c:pt>
                <c:pt idx="2">
                  <c:v>0.90069230769230768</c:v>
                </c:pt>
                <c:pt idx="3">
                  <c:v>0.87405555555555559</c:v>
                </c:pt>
                <c:pt idx="4">
                  <c:v>0.89715384615384608</c:v>
                </c:pt>
                <c:pt idx="5">
                  <c:v>0.93629411764705872</c:v>
                </c:pt>
              </c:numCache>
            </c:numRef>
          </c:val>
          <c:extLst>
            <c:ext xmlns:c16="http://schemas.microsoft.com/office/drawing/2014/chart" uri="{C3380CC4-5D6E-409C-BE32-E72D297353CC}">
              <c16:uniqueId val="{00000000-B590-4E23-B01C-FFD2BD4E7F08}"/>
            </c:ext>
          </c:extLst>
        </c:ser>
        <c:dLbls>
          <c:showLegendKey val="0"/>
          <c:showVal val="0"/>
          <c:showCatName val="0"/>
          <c:showSerName val="0"/>
          <c:showPercent val="0"/>
          <c:showBubbleSize val="0"/>
        </c:dLbls>
        <c:gapWidth val="219"/>
        <c:overlap val="-27"/>
        <c:axId val="420284383"/>
        <c:axId val="445863087"/>
      </c:barChart>
      <c:catAx>
        <c:axId val="42028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45863087"/>
        <c:crosses val="autoZero"/>
        <c:auto val="1"/>
        <c:lblAlgn val="ctr"/>
        <c:lblOffset val="100"/>
        <c:noMultiLvlLbl val="0"/>
      </c:catAx>
      <c:valAx>
        <c:axId val="44586308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284383"/>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Performance Data.xlsx]Pivot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AVG.</a:t>
            </a:r>
            <a:r>
              <a:rPr lang="en-US" sz="1400" b="1" baseline="0"/>
              <a:t> PRODUCTIVITY BY DEPT.</a:t>
            </a:r>
            <a:endParaRPr lang="en-US" sz="1400" b="1"/>
          </a:p>
        </c:rich>
      </c:tx>
      <c:layout>
        <c:manualLayout>
          <c:xMode val="edge"/>
          <c:yMode val="edge"/>
          <c:x val="0.16463298048008901"/>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89-4998-825F-705869A39C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89-4998-825F-705869A39C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89-4998-825F-705869A39C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89-4998-825F-705869A39C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89-4998-825F-705869A39C1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289-4998-825F-705869A39C1C}"/>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Table'!$D$4:$D$10</c:f>
              <c:strCache>
                <c:ptCount val="6"/>
                <c:pt idx="0">
                  <c:v>Finance</c:v>
                </c:pt>
                <c:pt idx="1">
                  <c:v>HR</c:v>
                </c:pt>
                <c:pt idx="2">
                  <c:v>IT</c:v>
                </c:pt>
                <c:pt idx="3">
                  <c:v>Marketing</c:v>
                </c:pt>
                <c:pt idx="4">
                  <c:v>Operations</c:v>
                </c:pt>
                <c:pt idx="5">
                  <c:v>Sales</c:v>
                </c:pt>
              </c:strCache>
            </c:strRef>
          </c:cat>
          <c:val>
            <c:numRef>
              <c:f>'Pivot Table'!$E$4:$E$10</c:f>
              <c:numCache>
                <c:formatCode>0.0%</c:formatCode>
                <c:ptCount val="6"/>
                <c:pt idx="0">
                  <c:v>0.92964285714285733</c:v>
                </c:pt>
                <c:pt idx="1">
                  <c:v>0.91899999999999993</c:v>
                </c:pt>
                <c:pt idx="2">
                  <c:v>0.91823076923076929</c:v>
                </c:pt>
                <c:pt idx="3">
                  <c:v>0.89044444444444459</c:v>
                </c:pt>
                <c:pt idx="4">
                  <c:v>0.90399999999999991</c:v>
                </c:pt>
                <c:pt idx="5">
                  <c:v>0.95035294117647051</c:v>
                </c:pt>
              </c:numCache>
            </c:numRef>
          </c:val>
          <c:extLst>
            <c:ext xmlns:c16="http://schemas.microsoft.com/office/drawing/2014/chart" uri="{C3380CC4-5D6E-409C-BE32-E72D297353CC}">
              <c16:uniqueId val="{0000000C-9289-4998-825F-705869A39C1C}"/>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1312514507115177"/>
          <c:y val="0.29239902303878684"/>
          <c:w val="0.25286124948667132"/>
          <c:h val="0.535988626421697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Performance Data.xlsx]Pivot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MONTHLY</a:t>
            </a:r>
            <a:r>
              <a:rPr lang="en-US" sz="1400" b="1" baseline="0"/>
              <a:t> AVG. PRODUCTIVITY TREND</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1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1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1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15"/>
          <c:spPr>
            <a:solidFill>
              <a:schemeClr val="accent1"/>
            </a:solidFill>
            <a:ln w="9525">
              <a:solidFill>
                <a:schemeClr val="accent1"/>
              </a:solidFill>
            </a:ln>
            <a:effectLst/>
          </c:spPr>
        </c:marker>
        <c:dLbl>
          <c:idx val="0"/>
          <c:layout>
            <c:manualLayout>
              <c:x val="-9.4421610760193439E-2"/>
              <c:y val="8.5613517060367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15"/>
          <c:spPr>
            <a:solidFill>
              <a:schemeClr val="accent1"/>
            </a:solidFill>
            <a:ln w="9525">
              <a:solidFill>
                <a:schemeClr val="accent1"/>
              </a:solidFill>
            </a:ln>
            <a:effectLst/>
          </c:spPr>
        </c:marker>
        <c:dLbl>
          <c:idx val="0"/>
          <c:layout>
            <c:manualLayout>
              <c:x val="-6.0844077182659974E-2"/>
              <c:y val="0.10413203557888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c:f>
              <c:strCache>
                <c:ptCount val="1"/>
                <c:pt idx="0">
                  <c:v>Total</c:v>
                </c:pt>
              </c:strCache>
            </c:strRef>
          </c:tx>
          <c:spPr>
            <a:ln w="28575" cap="rnd">
              <a:solidFill>
                <a:schemeClr val="accent1"/>
              </a:solidFill>
              <a:round/>
            </a:ln>
            <a:effectLst/>
          </c:spPr>
          <c:marker>
            <c:symbol val="circle"/>
            <c:size val="15"/>
            <c:spPr>
              <a:solidFill>
                <a:schemeClr val="accent1"/>
              </a:solidFill>
              <a:ln w="9525">
                <a:solidFill>
                  <a:schemeClr val="accent1"/>
                </a:solidFill>
              </a:ln>
              <a:effectLst/>
            </c:spPr>
          </c:marker>
          <c:dLbls>
            <c:dLbl>
              <c:idx val="1"/>
              <c:layout>
                <c:manualLayout>
                  <c:x val="-9.4421610760193439E-2"/>
                  <c:y val="8.56135170603673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E8-4203-A1CC-527EA98AA27A}"/>
                </c:ext>
              </c:extLst>
            </c:dLbl>
            <c:dLbl>
              <c:idx val="3"/>
              <c:layout>
                <c:manualLayout>
                  <c:x val="-6.0844077182659974E-2"/>
                  <c:y val="0.104132035578885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E8-4203-A1CC-527EA98AA2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Table'!$A$14:$A$21</c:f>
              <c:strCache>
                <c:ptCount val="7"/>
                <c:pt idx="0">
                  <c:v>Jan</c:v>
                </c:pt>
                <c:pt idx="1">
                  <c:v>Feb</c:v>
                </c:pt>
                <c:pt idx="2">
                  <c:v>Mar</c:v>
                </c:pt>
                <c:pt idx="3">
                  <c:v>Apr</c:v>
                </c:pt>
                <c:pt idx="4">
                  <c:v>May</c:v>
                </c:pt>
                <c:pt idx="5">
                  <c:v>Jun</c:v>
                </c:pt>
                <c:pt idx="6">
                  <c:v>Jul</c:v>
                </c:pt>
              </c:strCache>
            </c:strRef>
          </c:cat>
          <c:val>
            <c:numRef>
              <c:f>'Pivot Table'!$B$14:$B$21</c:f>
              <c:numCache>
                <c:formatCode>0.0%</c:formatCode>
                <c:ptCount val="7"/>
                <c:pt idx="0">
                  <c:v>0.96260000000000001</c:v>
                </c:pt>
                <c:pt idx="1">
                  <c:v>0.94374999999999998</c:v>
                </c:pt>
                <c:pt idx="2">
                  <c:v>0.85171428571428598</c:v>
                </c:pt>
                <c:pt idx="3">
                  <c:v>0.93092307692307696</c:v>
                </c:pt>
                <c:pt idx="4">
                  <c:v>0.91907142857142865</c:v>
                </c:pt>
                <c:pt idx="5">
                  <c:v>0.91184615384615375</c:v>
                </c:pt>
                <c:pt idx="6">
                  <c:v>0.90537500000000004</c:v>
                </c:pt>
              </c:numCache>
            </c:numRef>
          </c:val>
          <c:smooth val="0"/>
          <c:extLst>
            <c:ext xmlns:c16="http://schemas.microsoft.com/office/drawing/2014/chart" uri="{C3380CC4-5D6E-409C-BE32-E72D297353CC}">
              <c16:uniqueId val="{00000000-9EE8-4203-A1CC-527EA98AA27A}"/>
            </c:ext>
          </c:extLst>
        </c:ser>
        <c:dLbls>
          <c:showLegendKey val="0"/>
          <c:showVal val="0"/>
          <c:showCatName val="0"/>
          <c:showSerName val="0"/>
          <c:showPercent val="0"/>
          <c:showBubbleSize val="0"/>
        </c:dLbls>
        <c:marker val="1"/>
        <c:smooth val="0"/>
        <c:axId val="892493791"/>
        <c:axId val="445813167"/>
      </c:lineChart>
      <c:catAx>
        <c:axId val="89249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813167"/>
        <c:crosses val="autoZero"/>
        <c:auto val="1"/>
        <c:lblAlgn val="ctr"/>
        <c:lblOffset val="100"/>
        <c:noMultiLvlLbl val="0"/>
      </c:catAx>
      <c:valAx>
        <c:axId val="44581316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49379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Performance Data.xlsx]Pivot Table!PivotTable6</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13054357456910243"/>
          <c:w val="0.885413167104112"/>
          <c:h val="0.76242706922781145"/>
        </c:manualLayout>
      </c:layout>
      <c:barChart>
        <c:barDir val="col"/>
        <c:grouping val="stacked"/>
        <c:varyColors val="0"/>
        <c:ser>
          <c:idx val="0"/>
          <c:order val="0"/>
          <c:tx>
            <c:strRef>
              <c:f>'Pivot Table'!$E$13</c:f>
              <c:strCache>
                <c:ptCount val="1"/>
                <c:pt idx="0">
                  <c:v>Sum of Completed Tasks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Table'!$D$14:$D$21</c:f>
              <c:strCache>
                <c:ptCount val="7"/>
                <c:pt idx="0">
                  <c:v>Jan</c:v>
                </c:pt>
                <c:pt idx="1">
                  <c:v>Feb</c:v>
                </c:pt>
                <c:pt idx="2">
                  <c:v>Mar</c:v>
                </c:pt>
                <c:pt idx="3">
                  <c:v>Apr</c:v>
                </c:pt>
                <c:pt idx="4">
                  <c:v>May</c:v>
                </c:pt>
                <c:pt idx="5">
                  <c:v>Jun</c:v>
                </c:pt>
                <c:pt idx="6">
                  <c:v>Jul</c:v>
                </c:pt>
              </c:strCache>
            </c:strRef>
          </c:cat>
          <c:val>
            <c:numRef>
              <c:f>'Pivot Table'!$E$14:$E$21</c:f>
              <c:numCache>
                <c:formatCode>0</c:formatCode>
                <c:ptCount val="7"/>
                <c:pt idx="0">
                  <c:v>209</c:v>
                </c:pt>
                <c:pt idx="1">
                  <c:v>173</c:v>
                </c:pt>
                <c:pt idx="2">
                  <c:v>175</c:v>
                </c:pt>
                <c:pt idx="3">
                  <c:v>154</c:v>
                </c:pt>
                <c:pt idx="4">
                  <c:v>179</c:v>
                </c:pt>
                <c:pt idx="5">
                  <c:v>178</c:v>
                </c:pt>
                <c:pt idx="6">
                  <c:v>109</c:v>
                </c:pt>
              </c:numCache>
            </c:numRef>
          </c:val>
          <c:extLst>
            <c:ext xmlns:c16="http://schemas.microsoft.com/office/drawing/2014/chart" uri="{C3380CC4-5D6E-409C-BE32-E72D297353CC}">
              <c16:uniqueId val="{00000000-D432-4C03-BE84-BFA86FDA6C21}"/>
            </c:ext>
          </c:extLst>
        </c:ser>
        <c:ser>
          <c:idx val="1"/>
          <c:order val="1"/>
          <c:tx>
            <c:strRef>
              <c:f>'Pivot Table'!$F$13</c:f>
              <c:strCache>
                <c:ptCount val="1"/>
                <c:pt idx="0">
                  <c:v>Sum of Pending Tasks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Table'!$D$14:$D$21</c:f>
              <c:strCache>
                <c:ptCount val="7"/>
                <c:pt idx="0">
                  <c:v>Jan</c:v>
                </c:pt>
                <c:pt idx="1">
                  <c:v>Feb</c:v>
                </c:pt>
                <c:pt idx="2">
                  <c:v>Mar</c:v>
                </c:pt>
                <c:pt idx="3">
                  <c:v>Apr</c:v>
                </c:pt>
                <c:pt idx="4">
                  <c:v>May</c:v>
                </c:pt>
                <c:pt idx="5">
                  <c:v>Jun</c:v>
                </c:pt>
                <c:pt idx="6">
                  <c:v>Jul</c:v>
                </c:pt>
              </c:strCache>
            </c:strRef>
          </c:cat>
          <c:val>
            <c:numRef>
              <c:f>'Pivot Table'!$F$14:$F$21</c:f>
              <c:numCache>
                <c:formatCode>0</c:formatCode>
                <c:ptCount val="7"/>
                <c:pt idx="0">
                  <c:v>133</c:v>
                </c:pt>
                <c:pt idx="1">
                  <c:v>79</c:v>
                </c:pt>
                <c:pt idx="2">
                  <c:v>69</c:v>
                </c:pt>
                <c:pt idx="3">
                  <c:v>80</c:v>
                </c:pt>
                <c:pt idx="4">
                  <c:v>62</c:v>
                </c:pt>
                <c:pt idx="5">
                  <c:v>65</c:v>
                </c:pt>
                <c:pt idx="6">
                  <c:v>40</c:v>
                </c:pt>
              </c:numCache>
            </c:numRef>
          </c:val>
          <c:extLst>
            <c:ext xmlns:c16="http://schemas.microsoft.com/office/drawing/2014/chart" uri="{C3380CC4-5D6E-409C-BE32-E72D297353CC}">
              <c16:uniqueId val="{00000001-D432-4C03-BE84-BFA86FDA6C21}"/>
            </c:ext>
          </c:extLst>
        </c:ser>
        <c:dLbls>
          <c:showLegendKey val="0"/>
          <c:showVal val="0"/>
          <c:showCatName val="0"/>
          <c:showSerName val="0"/>
          <c:showPercent val="0"/>
          <c:showBubbleSize val="0"/>
        </c:dLbls>
        <c:gapWidth val="100"/>
        <c:overlap val="100"/>
        <c:axId val="447867871"/>
        <c:axId val="815095119"/>
      </c:barChart>
      <c:catAx>
        <c:axId val="44786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095119"/>
        <c:crosses val="autoZero"/>
        <c:auto val="1"/>
        <c:lblAlgn val="ctr"/>
        <c:lblOffset val="100"/>
        <c:noMultiLvlLbl val="0"/>
      </c:catAx>
      <c:valAx>
        <c:axId val="8150951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867871"/>
        <c:crosses val="autoZero"/>
        <c:crossBetween val="between"/>
      </c:valAx>
      <c:spPr>
        <a:noFill/>
        <a:ln>
          <a:noFill/>
        </a:ln>
        <a:effectLst/>
      </c:spPr>
    </c:plotArea>
    <c:legend>
      <c:legendPos val="r"/>
      <c:layout>
        <c:manualLayout>
          <c:xMode val="edge"/>
          <c:yMode val="edge"/>
          <c:x val="0.64327163710976198"/>
          <c:y val="0.18476060317301102"/>
          <c:w val="0.32989473140544373"/>
          <c:h val="0.1450678040244969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Performance Data.xlsx]Pivot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EMPLOYEES BY ACHIEVEMENT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c:f>
              <c:strCache>
                <c:ptCount val="1"/>
                <c:pt idx="0">
                  <c:v>Total</c:v>
                </c:pt>
              </c:strCache>
            </c:strRef>
          </c:tx>
          <c:spPr>
            <a:solidFill>
              <a:schemeClr val="accent1"/>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B78-4772-842B-6DE48A36D741}"/>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78-4772-842B-6DE48A36D741}"/>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B78-4772-842B-6DE48A36D741}"/>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78-4772-842B-6DE48A36D741}"/>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B78-4772-842B-6DE48A36D74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Table'!$J$4:$J$9</c:f>
              <c:strCache>
                <c:ptCount val="5"/>
                <c:pt idx="0">
                  <c:v>James Smith</c:v>
                </c:pt>
                <c:pt idx="1">
                  <c:v>Joshua Martin</c:v>
                </c:pt>
                <c:pt idx="2">
                  <c:v>Linda Garcia</c:v>
                </c:pt>
                <c:pt idx="3">
                  <c:v>Mary Johnson</c:v>
                </c:pt>
                <c:pt idx="4">
                  <c:v>Sarah Davis</c:v>
                </c:pt>
              </c:strCache>
            </c:strRef>
          </c:cat>
          <c:val>
            <c:numRef>
              <c:f>'Pivot Table'!$K$4:$K$9</c:f>
              <c:numCache>
                <c:formatCode>0.0%</c:formatCode>
                <c:ptCount val="5"/>
                <c:pt idx="0">
                  <c:v>0.96779999999999988</c:v>
                </c:pt>
                <c:pt idx="1">
                  <c:v>0.93299999999999994</c:v>
                </c:pt>
                <c:pt idx="2">
                  <c:v>0.97300000000000009</c:v>
                </c:pt>
                <c:pt idx="3">
                  <c:v>0.93099999999999983</c:v>
                </c:pt>
                <c:pt idx="4">
                  <c:v>0.93479999999999985</c:v>
                </c:pt>
              </c:numCache>
            </c:numRef>
          </c:val>
          <c:extLst>
            <c:ext xmlns:c16="http://schemas.microsoft.com/office/drawing/2014/chart" uri="{C3380CC4-5D6E-409C-BE32-E72D297353CC}">
              <c16:uniqueId val="{00000005-DB78-4772-842B-6DE48A36D741}"/>
            </c:ext>
          </c:extLst>
        </c:ser>
        <c:dLbls>
          <c:showLegendKey val="0"/>
          <c:showVal val="0"/>
          <c:showCatName val="0"/>
          <c:showSerName val="0"/>
          <c:showPercent val="0"/>
          <c:showBubbleSize val="0"/>
        </c:dLbls>
        <c:gapWidth val="100"/>
        <c:axId val="911321759"/>
        <c:axId val="815186319"/>
      </c:barChart>
      <c:catAx>
        <c:axId val="911321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186319"/>
        <c:crosses val="autoZero"/>
        <c:auto val="1"/>
        <c:lblAlgn val="ctr"/>
        <c:lblOffset val="100"/>
        <c:noMultiLvlLbl val="0"/>
      </c:catAx>
      <c:valAx>
        <c:axId val="815186319"/>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32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AVG. ACHIEVEMENT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AVG. ACHIEVEMENT BY STATE</a:t>
          </a:r>
        </a:p>
      </cx:txPr>
    </cx:title>
    <cx:plotArea>
      <cx:plotAreaRegion>
        <cx:series layoutId="regionMap" uniqueId="{E3FD40E8-60BC-49CC-AC40-7476B2DAA4D3}">
          <cx:tx>
            <cx:txData>
              <cx:f>_xlchart.v5.2</cx:f>
              <cx:v>Average of Quality Score %</cx:v>
            </cx:txData>
          </cx:tx>
          <cx:dataId val="0"/>
          <cx:layoutPr>
            <cx:geography cultureLanguage="en-US" cultureRegion="IN" attribution="Powered by Bing">
              <cx:geoCache provider="{E9337A44-BEBE-4D9F-B70C-5C5E7DAFC167}">
                <cx:binary>7Jppj9w40qD/iuHPK7d4U4PpAVbKszLrPuzyF6LaVdZFiRSpg9Kv38iy22O7e/qdwb5Y4AW2YLgq
U+IZQUbEE/H3T+Fvn/TLk3sTGt36v30Kv74t+t7+7Zdf/KfipXny75rykzPefO7ffTLNL+bz5/LT
yy/P7mkq2/wXHCP6y6fiyfUv4e0//g695S/maD499aVpr4cXN9+8+EH3/i+e/emjN0/PTdmuSt+7
8lOPfn2bPenys3Ft+fT2zUvbl/18N9uXX9/+8N7bN7/83NsfRn6jYXL98AxtiXiHGeU8QUn8+oPe
vtGmzb8+jhBK3nEksEAUJa8/v4998dRA+39vTq8zenp+di/ew7Jef//Y9oc1wKP//fbNJzO0/Wn3
ctjIX9/et2X/8vzmtn/qX/zbN6U32ZcXMnNayP3t68p/+XH///H3n76Avfjpm+9E9PPG/VeP/iCh
jTaufP5vFA+W71jCGOJfNz9JfhSPxO+oFIRiSb6Ij/wonn9jQn8um28NfxLM5vg/UjAXL9ObR+Pq
33fn//7gUPwuIQmmhOBvO//9wRHsHYcnjCP65dzw38f+cnD+nRn9uWj+2fIn2Vw8/o+Uzd1LeIID
/d92o6F3lBNJJUJ/eqMlyTsCQkuEwF8EI38f+4tg/svp/LlUvjb7SSR3H/5HiOSvr9rvJfPDm/+p
rUnesZgwQYn40yMDkomRJJwkX48M/VEyP1mAfz2tP5fQT81/WMn/I/Pyr03PNxu9euqf1q/G/Tvr
89dPX5cLTsdPTf/qRH3Zu/0zOACMcNjnb07DqZOvLb+ch4fS5eV3Psd3jV6efP/r2wiuOkw59AOe
hJRYIvz2zfTy+kiSd1wIKmgiGJMsIXDYWuP6AgZO3lHG6OmQEs4xisG0eTO8PuLvoDciY8GFxBhz
/s2xujJ6zk37bUO+fn7TDs2VKdve//pWIDCC9st7p8nCpGB4IgR0CbOIYwnrtZ+ebsB7g9fR/5Ij
N8bMOdpJObd6SkcjMxcnLFvauTuWE1mHVn2cW8l0Osi8uI8Hm2c0JuZQFvlwQQwv08SNZMOEQmrt
BJNXxZzbg+OtvjPt3KoUUbnvVH+nRhVkNg/dU0xs7cqVgw2+9y5qH3DPw5VtJqXTEUfumanWHEyR
J0c6B/bUxp1esoA9eyKWw0uY0+Sh5yZ6qYMI9zUxTXhJRJKI6qz0dLoojFi7xmcyD9Uhrmort3xU
7d1EaN5XaR4N9GLoMUIrXJjoLqLM9ulStOPayipPRefq1DdlR1cCk3CBXNArVxfyo661xAffjxK2
xWC8Q2HKj5VFQzbUvCvSGBOzVnKa2AZ1MU2Vr3+jzdIe8qm0KZMLXTFH6w+u8u2aIUVXkeAs04pM
DxhX801jGMr31A/l1tjGXqlkicU2qILu4zBGj73X5WrwIdwXsS9WdVlpmnbL2IkH68uxzwQPUbJe
3FLYNFQq7jYqyXWZiYX2+LIrydJtIjDPd66T9GmwtFhSrif7SHMqj+AQo7swkdMu1wj2ojAJuktq
FuN0xhO6Aw/Z+FRbBt33RMdj6kyPLjyYliETvbc+JbbVzVqyEeFUFknbZJHr2noztYM5IKcxyV7/
1KgCuSrLHU+7oYX35qKBNozMtTjaNthHnCxNk7G+UQ8VlXWZsYHLYz/SqEx1kS9olQeWPEhTkyFr
e5U8oCHq89TJ0YygmhTdYcRgGc0wlttJmGHZhj4he1L07MkG3fkt7aUrUxf8ckjaGcafG2QOOEf1
klV0gQWJ06bgztHq0NeLLs4iOcMEJtSFfC3yCna3GZV91FPTqDRXY92s2OxItZJBaLqSwnB8oUY9
qY3vVZzvezuWS5qbqn+uKhNlZb3AZxpO3Ramc3qrq6rvMhO1ox9THsXwgMoWug/8tHi59NWSLriG
HXRTgG+WTpA95Q3dh1CAWBbf20eeD1FGIwuLUAOOr2Q58uPriFwMddiMESf7SSPQzW7EsL/VlKuH
ydW9zAhluVjRCY/L1jlEn+J59jKjeTAHHjv72GG0jGnHgtvlZcXodV4NybomXWH2JSmdXys+EJJ1
uIT+c6JhWXMj5bFQmr+nfTVHD6+zlHoZ8p2eadlmBDGYLLMctCzCBF0kTrd1qmtP2tTzCeRcN2O3
3PZTbeqN0SeRgsN52pNqjv1FPyfmkHBvDrMz8DmZy7xKZZJ7nkZmKbe1iUAhkqYrt2LScEOJqnM7
2sRo3pSd1Z+XhYFGVjw66RTC2qQ5i2SzNcM4mYNATRiywtYhC6Lup1Wf4GXnFz7dxJMMV2M120cC
mkay2AxIgp62DUrBtttjL4fMWCbnlOGoG1OPfbIemjYn2ey8uOCxUIcqmZMHECYvVoQIdFMVc7+k
2nn72NPBq42ocLgdQYu31SSbzUIQzuIxZ9dD2ftPVUQQSTUYnQed6HAredRkAjtQbOwmB4uBDTjy
mEawuqY2JF0Ma33WT06TFUta32WwZeOyCwkTuwkl4lNnK0HWqDWSrKmaIrgcfE33eV7RPWlP+zuH
Qj04IeAGGTozwoDNdDkhRtd0zHG+jnoypbhTKEkbR+2ehJJsjZZFkTmwGNctsu2NHg1v07HWlUlF
XeD7xCxiE01ufqGiIWfK9eWuGiV61kwsDzIfgtjEcAUeO8fLF9KF6W5gbN7bpm3Wc6VVZsro3lWR
eygw9au2q3uT6kSW2xlFVYpDpI8otBN8F9pNLJt53ebx8lLOeQ0nYNL+INkkqnSsxEzTZlHkca4r
f+gnJbosAT6wHxZXnzcMsxWbJpenKvSYZ6VaxJHl3YXjrnlhLCnoepFu1GmYu/ms7YO80FN0g5oI
h3XMEHFZLUePjrqG2/x6oaTYj3Gy7UceNstIxpXvans+Da1J62hQV+3o4DaZRdqWkR1uUNt+IPmE
8qxP/JJvx6EkR1u3Mb5XlpiHqdDuVk/0qmBjdzPjOk+n3KMbhZC4bUVfpHoIvbzsqIx3pdB2HedF
/CHHUzhQJe+WHPP3g5/x1gRm3JZNrUngfFhtd6MLp4M/7YJNmmyw+Mr73KS8sQVb67iIj5NZdDar
ro+vfWHMOmARr3XlUOor4kJajH1h13qK23hVqGL6qCxgqQzRgVWbuBmGZjd3Wg9ZhKhej6QzmQxx
f4fbWj6WOIk9mEISXw4VHdImjux+5AS0eiLVxwDm/TDpYbjocfxxcrI7t36Z+xRNwfJMtKo/er5U
q5Em+HZOInqYQ4Wua8T7zyMN7uOc5KZ7Cn2sx+uSO5UferfU+1zXbWY79wHPi7ouCqRWNa9VCq5g
OI49Ipn24NII7s4GT6JL53q+9pjkczqL5kX3Uzh2S1mtFZvxdVX246MsuVrlTcGvEpuwyzBMuUjr
tmi6NGbCXohI1eex6nC7KoY4uqa1YStBh2kN2yXSkfJwZn3TfiyHnmbM2Hs12Pisjt1DDyZxXVSg
p76KHxHO99VU+WM0M/phmnLSwJmbXYaUR2sVFcXB5zS/JNIM54NwOzlMfVoL3KdFjAa4NY0N9DgV
PYUVSpThghK9yi0eejB+0QWnoCpxWRybSZod1ui9qqhIc82b1GFDs3bq6xUPWq+QHUEPsKXrIvAE
LEWillVOO562HEz4JqEkDinGllzLnPIrmbj+1jg6gKFvRwPrKfqsXsImEv14DriDpXbI73ncoUPr
onKFSLBZ3s5sk/RNc1tWZmzTCtyPDW5RuQpYV35t4xClQ89Zl86+KK6a4MimJvF8Fzs3HmZP4veR
g4Yjz8053EDjrgy+9Ku+Sa5JH49b2w4FfMTUHkizdDcFa/SYza2f1oNpyyItJoPOBloN12XJ45VT
fC/7Sh5Nnc/3sdeKp6wZHoqh+FCpRmVAwCQ4FGHM70ebdKnwoQeL68kZt03YhTjHKU0KueEDBzn0
rpp42jRxsmRSDNxt5rpgcBKavs5sYN2GlgNYR10kedqJRm/tROWDTWDhow3uVlVGbHzoVLUGczjt
ZOXLVaeTOpVKpXFw6KZQvPWpqwq6WubcHwydKUnjYh4OwVGzmTAOZANtwrloQiEzAffNc9UN/LPU
xbQua86WXZH0+pMVotslLlFrfXKtbONdqse5SxeKGpPppuLrMursumrHMpODHM4ni/BKzbrP5rEb
VzXAjENdNePF4qUl92Df6vO+1aQYsyYJzVXVlyTzNTM3QxNyfqOTiCwZixKXjn0FbkE70d9qhON8
k/C2hQMUgy9Yc1Rf5mBk81GHY1t7v56HOglZ5aW69uAGnGNtLdy8M8k/iGZszWohFfhYNHnMB2Ru
FjVVNm3yYtPVw3xknrGLri06lyZdF60Gw4YzYnR/CKibt7ItwxVivb8rpuasm7qDlUtYdQnuLhtv
/CcOt+V27Dt3hkamti6XD+CoTRvh3WoUjl5X46x1ysa6rjdVaHJ95otlQpsyWZY5naizVWZ0a6q0
wXy5GUhsfwt1o3NQH6zH1LaNTkk7wIYQtRzrwUXNp3kM/ipK5uUyKhZXrnNbsuE32ds7O8xtLVJX
DlThbRPB5bZXgW+7gogbg/R7S3QoDq3uhDqSNn7qp8SeBwaOXClBF/b1VCqQczXXa1lXhbgBosji
92UDf7kpdXWrroz13YaVOnWRzpid3i8FNRklTubiKse2uwLrt+8bsKDT7rtI/k9C41Pg+31gnMSC
cQpBu2Q0hjgdovPvA+ManCXFfWx2bD6FTqyswE0ckAbP/a8HOnX0h4ESDpwawmCC+U8DSQfOfKdh
IF1o9gRxatOs+7YDXw3EQJ98KSHMyk0Af3SBCxdA5zdg8SfL/OPoMiYySbikMUBbBij2+2XaaEYi
noPZucriOz5NclV25QyuhHY7EyIYlfcC/MFoasCD/+vBEWRQflq7jCmOZYKRAGL889qnikXKKGd2
HlnofZzygZ6LusN3beUhgqKIw+JHOptDn1twV2LXDhADtLnQu5wGdPfXEzqt9kdZECZJggjiFFH6
83zyZBpmnEMwI5yj+4kAfmBlge+WWfjnxKFy+9fjMfaHASlBkgErFzEF/xDw0Pfbr4tx5iz2Ztc2
Ljn2BcRrHqzxUx31TbHCZvhU6JjSi3yUA9k7x4maM4+iojmvWKXB3MFtvuZdS91l40Z00UR8sWcO
o+RhLPpkPdYGNIkurQJfveH+Oc5jkgDFof1yi3mk3LoLtduVwwCxha3Yk2Hj1N96lDC/WXqEJp+1
nBP6cYEgss6UDBCl54oRCPByCEBrMBN3jSD2cdKzf4Z7ov0sl7G9JUkOYVzfeXgf8gH2MW5oCMcc
AuLoZDBjiKpRpK6XyA9+k1QQLW5lbtxuhhfdJTUW8a0rEA9rj6R5fAUgDe/QxasQvgLFr2fgCxX7
ZOzsyrz4mnH89vEfd6aBf6/5r39+eUpY/vPT+e+Zzr98a/tiTmzQ//zSaTbf+oLJfJ3dCSn+8OEP
fPNfEMwvidN/8fDfxJuQt4y/09c/4M3bE3J8kz05o8v2W+buFXJ+afo75IRMHHQlOOcxYoA6v2ec
hIECg3oAwnp98jviBDAKEQ2TmABkxUzAxfQ74sTvYggwGABJjhgmlP4niJMlpzP0w6EWLGYxgFYJ
80CQDPzxjA0lrltXlWYXRoGmdVJAlJK1bZlsi7azG95iCmFwXsnrBMjYmGJAvhcTD2Y16kLKlSMD
uqtUSd5zX8xXwHHa29Fz9TGhCJjlQia7E9PCdtYRgDMJ7NGhjMAnFXVrQjaFmjerPgrgHIBtTMhR
6qi4qJGJgGlQRs6GpdPdukvKfEndPE8oqwdehNUyVu1n3wxwM4pkpps68vSyQFW4qgtFs8gADFzH
XUTOnJpb8N05a6tVRAoMYWPwcHGamZ8DTVU267Ei+6Eh5GxaJNknoYzbNbCvEU4lTGrVNap/gVEQ
wDzaJihTQ+tJKm0HPqvgel4nMxz5oMAdz2remxr8sontSrjcxZoscfO5BIHvmGLhirdsytdoKdXz
Ar50l9Zwi7y3SySgX5jZe2qZf99OcX2T1HG4UqEsLqcB6Kz10lz23o3zIQBZYysKyKpIVSEkEMdG
I5XFqDMxkForr0MN8+q4hY2skFJNGpNShZRWQVwDTLMfUS7lldJmMmlYXIxWKhG0XSV6MhshG4BM
i9gHYKyXNeqSK+YLCFYqmrCdh/3bjKZLjpqX3XYpiulYDAnehGIEHFmy1twi1MnriIK2VHXRZMks
2a5BeZM1yqE7ZQCPlDNIJ9IlELlBmMvadWN0u1BgDFxU6Iz6aco6XQ90VYJ18LslanpYMyIbYCrd
b9PSdI9uMPi9jcHHzpKlYzxjOfPPKGrkGrIJPU/lNCfXweZFOs80ucVwA14HsgCYTIKLkoyN5CNW
wfsUNI/hVV9E05NcgG7UcM0frSUi3wxznJ/RULXlDrBGv+wHMIXztlRDdMQqGqdswqJZQxQm2yL1
JKn6fcFqNqX5BOhBgL2ojwUJyZWVEdAn5Di/b9FMzwsfxVOeEU2jGABdZRaWceQWss3DHCcqjapq
snMKXhAYopmVRj52J3Yb9cnUAWYDowfyiaYRPFUydNNaCik3uUMLHnbKuKg/67kd4r3uurl8j61P
+jMGPy5tQX0+CJVHt/PkfIZrBSFJMx6Akvv3RddcqITkRz00ZfIJnJFqBEJGGkOjs7yJRQvsX8f3
jMTlplxmQPtLv6yVm+tNzOFjT2K975Z8eih7XK6ipDDnEIh2a2/7m2pAxarUFnOgixggYA069MC5
yvkOjnd0B8hPbY1zi0sHRhqbxRLZVVnhbsXrkG+iHvv8mbUwBzCJZRjSccDDau5DOEQyrvZmiNlq
TtobswAQr7zaVyPyWSJNOJvKaliLUOo17Ysi7UzYThGNntkCN41WLusUYHCJqu1cYpTOthcXfg63
/eLzlcinLQSl7AE5N6fVMAzpMg/mcpLxDQLKn45uAbH5pDiF6Hk6amXhquD5RgFv8RVrD3Fr/Us1
i4t4weoRkikAhqZO37Z8lJfVaHw21xRwt/bjFaAECBcNIMWpLOYt5ctF2cl5q2ncZ0Xh9WZGNUpD
BK1QPddZ6Zyxq1ouj0YJls1aXC7WnQMOVpnFEPhBOshtO9W6DSDc+Nw5NV1yr2UKpTO/JXDbbtsS
yXWpZrWBlFyVtYr5DDylbrcYU2Z6HKOzqinRYdbzmA4i/2hK7Fc5KsqsFnO7wskAFLE37v1UddMu
bvL+vhpcD4oxRdvchc+D48C6i2pe9w6SJpAJUR9JzaImfXVkeEWbKo0kjvcDN1O9Iw1lh7Yr7SZJ
AFikNjfl1g41PZMKop8QReJ6sEWyLRcwTVXjy23PaANawRdxMfuuPXHTE0qSXdnfJL5TD0nH4Miy
Rq3B9hYXSyK731oD0DxdQll/sEI3GzSMLlUllpvG98nWLKN9tJOK3ycuj9b9OLSZmdrlopUYeHo3
uV1DGnlN4MG5h0TTpZf5g8i7Js5Q0g2bHDj4hcMKhRRgYo3OWKjyY1I3ErBOy7pM9+UgshqyZGXa
8XKB/EIDNLyHyG7EiFwQpYp0aYrg0si2QOiNklthRX0WuRyScDYf0i4aoofexv49aFzbrcphsoeY
uBsO/OI6LH18Qaq6Xcme7vmgQQ3otIkhf5gFVNAdxk6lo6fR3ilRvRBPm5ehcc2KF0BtsrFXEwM7
yAHSCrDYWTV3bMVZie5NMYw3RVLL5yCHfA1ERh47hT9GyfC5hKzqB455SKO5jTNP2X1LWXQOZ6rO
MKnHdERwzy1zp+5zR7cBwCSkRz5J3LHtYijkH9UyZqScP8zjnKx6bfBKCPfUNbpORxLv6yLUa4hM
7UuuxJjWVWRWUP9U7UYMTDjDywyEmSt0pT1369pPNVB1ftHmfXtsFjesG8Cfc4rzseyzqXCTBde6
WS7yuVdrgC/PQ1XczWYFrhT4FyWkFdKJjHonULWsmIpxlyany7Vm3cmZ6WTWU+cBZ0dkXbSqfMJ1
fRdhblZk6uKPBRblzpRSvDjkboYRfVYAMSHVBtg8Eo+tRvGqY325DXUszpIZsIOFyCQVpHs0+WI3
SzKcTS3g1Lqwdj0Cu1/JfCS7KszNnox2z2ZISlYc3ZfTXB816DygcI42yPlki6u+yGxcbQG52zPT
h1u6FH6DIMsLkIllQ1Etzz34n1lPBnMLkc2YlX6BvVYNmVd6hmQw46ZPAd81mzAYoJaR/KRy/AF1
uXqMO0YuSSJ01kh23aEe9Ip9anCD9uUyAE0sSnuwQCcPQ4dfRDNl4Bc8e1l3xWqAKWUIsOBOWlWl
ngL5LLsCsgySF1vwWMQNiuZ8VegJ4Dd4j5e4FerKKXPmQOhGu21ZxBfF7AHxCgsqimS+mouAVw5V
6ILY6j7Ult+oUAzA+ADbpAK3AMGKwQDEilIxclgdIHoKJv0YdZ6vgIA/9FW5PTmbHWovjegh1z8l
B2zNZ1bmuw4DIyqi+FJN/nLRpwRs7zNIW6WVbT46nbSQcwx3kx+uLOov+6g9B2+tzKDjGc69CtkM
FA18wCHP5gqOOQMgOK4YKRlkNQVlx7aC5CBvujYruEvxLBjkAOtmucKurQ//P/D717Wv/6xrwYSf
SMw3TPSHwO/iVIbyp4Hf16a/B34M6lQwh8iKMwG1KCd69Ht1C31HMFCUGEqAOVSZfF/dAiUsUiIi
GaCnLyUs30I/8g5eRcCDAEXF4DKS/yT0E/Ef8AqiEF9CgQ0HuhYTcap++a66RdSha5z21Q6yWgCS
UFIXYgUeTjet8OiSAObNxiaFapuC7xWec7pvcZvIjC8e7B6eeBU24Ek39dowk3e7SBs0udSObRMD
8SYe6pSZPM6n2gx7KoIwTNN9Dx78qVai6h41eK/7sURQTDFVGlycWocJkoiJPCaFMo8tQOtHGy/A
YUYg7TadWiSPCFKVT+0rz0maCAxwm3OeQhwg7RZrUbi1r0/oZiQKgpG6Kucr3PXJw0AQDDzZUyq8
9zLcvJZGgB8TblyFyV7Vp+oEYoNwALfb2pwZ5ow84wnwLS8B5GjIB+cpKtoIbqcT+LRQf3M163BK
ug8JLMMmFKAgxrnbxQDS7mKK2JPAIVwZEw07MhbkfjllwVtwwnaQMYEsPm88ushxB+u3AqoLKq6h
6w6cnVNlReX91iaLf67cqUqgpQbflV5DCl118ZgG4uA1gH3mAJUx7GnOoV065DABhqZTDlPDaDHJ
MUTphYHkI+TNoaAlCbBqWsOYsgY6pav4FJ1rBiH+MMUEslNlc2gLUVyQOqqOclQodVMZziHWH/fE
JPW+LQW0Ea+lFzyoUxFJAMK2Ar2GHf4iUCDCtVvlJRSe4OEk4XEeAAvEi/cf+GzmcJysmtEq1Lhq
VpDhqcvrqMGwBDNXJz9vLOB/6TWUcTA9wL5MVQRzLCAxrdJpphHLRCTyctv1DRt3tm6K+L3jnpKN
bpbIADZdPhdqOOHRsU0eZj3dgMvBNnNbcAp1RaV6WLCvrgUkN2mqQxdlFjXAWCkoYCimk9Y2oOh1
oIPazDaHnhZ1yg6LQsHcilN9TR+TcFWAc1umkGEDbcAO0hJpQnooC3hlA5IioLdaCChasbkH5Yuw
LlZqxHD0xGT7Z6iFAy4Q9xZdFFMHh1AkAQRsrAQr/qU8o65sC15XlUAhSp1oKCIaQUV5iuBYHo0F
jr4TFaCMU6gGFROQ2w0Qmg1QOdPUKtyQOAdM304NaIxCg38OgcKQ7XKq9xhPejInUFM0nEQkSU/2
DQPuKRFkZLO+i8H0MZysgRFAdcA4JmtLkX2EzIl6eFXhMhKwvzUUlpjTYa9OSqr4GG6gJgW2ZML5
fBVyOArNAs4yLSooeXqtVIOiW9i43liohbFa/h/2zmw5bh3Z2k/EEwBn3JJVpVm2JVtt+4Zhb3tz
HsCZfPr/g8p9zpbcYUXf/zvCrnapVMSQSGSuXCsbg5kCQRWu8Xn7+UhMVZdf+PnG4m0ZzC8tcBy5
zPWXHTD6UnsdgDA1PvnRXdrkySrEbEUd2WYbFRrMoeoDDqffbhC/bMgNVeaRMC95zXQE+EM+rGyo
FhufCoXAwCyHQz6UgO6ktLCkZptIbBO7wYtt4VwF8L4o2lfqdtcGhh/zjW8AlQX0raywD+MpGDLn
faFnSEJWT/p4HNNdHUTVBZe+14uTqAoQdL1axIOZ1UdrWzJfZ+0pXO3DNmVHxaGgWt7XDGh38Fi1
3S7Zwzas3d0zlyjfIOk4G2e5VLjnsCmhttWy4nuemU5lOYeHYsRlCJHIj6PXTawgSPNDh6HnkZ2V
+ktJufxSySG9SEbg/MDB5v3ScLHCrOj3x0Epz71cJ1ykszPhtSyxKEvZbFRlW4A5YgdWT9vAW48O
hbLsuk4IlAoBmWhybWhi88IuVXliKjY2rlkmGzaVUHaZo83f2dZ+oL4jFsUJXxvYZHrawBW9bdkO
ZV9DbapFi71IsrBja5hviwJmjJ4R79xQ8OpaMp6i7tLkOCtjOYGs2u3aLXq+3k6T4QfEnpzAEAwu
NIQ1oFf11OeeLG7cbuovJ4o9+vRs867t8ktiZM6xrY39T4Ev76d8Vk/UnAPm+cyomqG4jR9m7UEV
E/mAf+uHMTxUJErYozJ0sE6H6omiKht5dmnFIPP60AULpuQlYT9dFeGgLfhl7tIfO2nJ967P6aqq
UhXxtLC8FAtPzyeunkP3aYEbI+NVe312evasbUsd4GLJQv0kc6dpnpY03cp/eYuDn6hc46XkvOQX
ruH0Ae+pYzHp+oPMJjsO0+ZHk63qqu86cxloYS7nJMUDq2qX90C3hs5I/DDFYRt2IA1Z1sjsnb1l
2yXux6mXg0wnQgjqcE0rY7/d1U3dDBBm7CBZoSAMuao+7EX1sxB5FYTEulb6xFXaXzajV7NFjTCl
kmnF13Im+0OGi2kja7G9InZ07/9om/qpTWV/rZJ1Eku0hQtcWd/pP9qwZ1tlLqLBUGrhJXU33DHh
e9kEIuHsQr7ttUMyLeV4D828vUF0lcazoevmgYa5Cwn3qx7to2W3+nYw9N5+DGIRFJyBaDqXT0cq
qUM2dTdBofo6eS9MqVWp8V8NST3sQSijfgC6585RQY02ea7Wbn7VWdwTbe0nV1K2NV614IQjq6Ic
Lib70ImuPti+vTdxMIxeGvnaLeKutetL8FMwy9ztwthyS4gWjT2rKMj3k5jW5dorsrKMrWABgbGb
LttOmw/Uc6mIbvo4HSYPQkiQqRtSuP1duI7B9VAorrl81dAyLPi89SI/uXJu7yzhN+9yIM/rwE6w
XukSlGRhe0zDogPX61bSyDKYbvp1FneBQ5EsGixv/Va5bfEJps4ntwh0dQtZ1P2gy6yBzTYsMCH3
Xp1CmFl/D1uvvmfhWEXDouxox8iO2gvyQ9hvkDCsQl2KGb7Cto71sQ67NYtdtyijyRmKu7AHJ7pj
vfwfxRg2p31aEu7xXBzTfPmkVNGdyjzoL4Jk+QqH2lSjg++pXjf4JYBRstL2ySnhqNmj138YYG0R
/jTkd2u9/lVM9kerCKBhL8NwF+bZ/qHeNy9ug6k+tZvlXiRqDm47lbvHVA8ftZrgxfU+kdFxqHUL
fpHgokjCYm+BoZUSN1yDlshrG+r2pafa4apUk3vbUgaIWbSGqqP2Hleo5dGqdXi01A5Cj8eKsJDy
vauLQ0DUae2lfMclsBHyzc0pDS3/quqd7UPaOrHTOM2lbQ39RWhuCGfr5sOaqunSK9mwAWD9y5Cs
+lB0vbrbC8N8rIG2m0Y8lL3h08AQ+WSvtnW71V2lQdoCfg8ahP99nCuQy8S29+txbfQFrKv2c0H4
bjjC9Zxj33b5EYgopK7jWPfC1yLm5g2AHN3TFHjbqWjL+mqBN/CN5PTzaumyiiRoWjz3/QAHCbOB
37WIaNvH6UIkZRZ75P0xzj897F7FRUSV8mpuvB9dlrpHe5RLLDtRGW8lr7aid74lvej0IWmH9TMR
8ZHouicSpG5z2EpRHkft+h8TjUfB8/f1MW9lHlm5HVyKYXUu6qzaDoO9bWxaJU3xgupL1DlToSYc
SdizdqMnHualrOQx9ap+IxbX+1o85GB3UySL2gX52YcZENrg0fDG9GE3GDXlgAYyVZYAXbcGxR4N
np1TevUvw3JanqxysEOuvcT2o9zg4D2AOIQhfYQI197lA+cid8blqfPD6mo3WLoyqPpu8PUpo+Kj
iiA/+QZ9X1IqDtC3nlH5/IzRl8+AvTLYPcDjPczB4V9Wpqabug/v/BIQmssreawN+q8WsLBoIncB
t3ouEAzPxYK69EGyLP1cRcBrqZNzri4Uz6WGlMQteZc8lyA6U41YnwsTyXORIvlVsVie6xfeczEj
OFc27OcyR3queaSemJwvYVZz69pTsflxmIdOegqWxKtvtOh5v2wJuQ7Cq+Fbz72t+qM3EYNmfUa0
1SwDgYg/u9xNhpi8XQu5r1A3QZSJRUGe9EJYrizis39k/L+K4v+UhjivlSFKks+7nvL9UPqUal8x
Q4JZdH3d6+wSXJ8LM6WIVk2Rgt8arDhpZ2geu6wK3aut5RY9rE47lNeza88Pkzsr4MF5UU9CbATv
7vM1LUei6me+QuruRBN5CvO5Sgzu35vUs1Gi6g9WnZC8lUG/TncbOMWPc4yc18v6MEF2Z022boWD
ZijHc7Gv78218i1vSnXbQAErywg8jIDsz8thhDovq8jSCwL+QFMRIpDBK6bGrNLccqywumySuYbD
ta3TAEZVdtz+6FR13MA4PvrroL/Vbrk96JGkW2ckpTncnYe60W+N6D9tkHBcpDtu4Ejuk5fghuVp
a5+4AKHuWMQ/vuWvDyPYytMAVkGtzzJ5HFy84YcL++aqmwmUm6WFgS977pZ4GDqTTBCh/3mpfqMU
SRchW2gDvdhoo+1XhKYJan/ejXlBaU6xoXXbOuu/dhdE9LO77UhP3FoRx7aNV5V+tMADe4NV8x/2
CiYV4lLpBjCqHPuVqGnJfNnu9pheeqsKYWM3Q4pgRsnEvpfWkKWkKUl3gT4hg8XbJXtz7PwhuU+b
UX4MxSTv3RYC9hsH6j8sCxovxxMkfL4LK/HldjXOlLRZ4aaXjUXSoFfixuOat2QzM7BKPOY2MfNU
U/g4WHP6Fs/r+bi+YEGwHk7omz8kb9J9xYJotqCcmnlnTbaKJLqQeuuIVXRYF2xItnkW+dcSOh/L
ILGupEncGreCkzm7urPfUQuhuBSJckyzy9FgL51Om+LvgXr/w9IY4sOfrcgOfjtwPtp615fgBq6v
XhPwMmnBQ5sD68LJPHyg3e5Ndh1SYuOorbgLHL+63eyQgnpj70YdVmf4gS2f9sdV+bin1JFkJ95O
9QyFFP8T78Tf6HG29PgMDzm2IZUtfQFKMy1TSrUiBQGL86Cb02M6IwrZt5qnezYUU8qy28zBIiH4
8TzZ/09BOovJ//pnu4J/C1cNj8iG2/MHHPqVLPUfCLb5vV8gtO//DxJGBwQafSxHXvwvCI2T/h9P
QvwPlYOc0g85kr/oR4H8H8fDbfqO0WQCG//iHskQ6brt0VJA4rsUBvjfANCv7lDzRHjDypc4QnPy
XrtC1G19A0Tp/QxlMkLUg99OChoLI/0iy5668ptLVDecGr0Nm3sY7dXLVpg9ifieNhBxrLi115La
GHH+dCiV1ejLRdXVAPm8hrwZteXqdd+9ciwoClu+XxVOnEJnlT+Dtd2mhyrD3L9Bcu2Sv5za0f59
Cp+lc6JammQ+djuvryEViXFpDmnl9SW45OLV9a0MNs2QU1CH7cYGnyj+toaZ2/qNe+zlOedkC4i9
EE9dIg1WXbxy1mip8ikjF/uZLG1T6MuRsNO9rNx56INLsPoxX+I97+j/UQnK1MnpHxb1H+KcV5cF
z0f9GnBH4JvZKQbz0i/vhRMOvvDzH4UsDZowto7nEIAq5FnFqUfc2Y+HPhtTN4tgUOxd835xnW2w
Uaag+HLgnmTNUEZtq50erZoXgqa8sUYm1vo/5+0GwnEciiyKwg23Gmb5coxrllt21jvWDx/1gbAP
6R6kgT4RfUFBiRo0Jf5X9JnJ+AY3+dXemOcCCVPa4dZSofP6uXC826C1nPBHumFzPtT4rho+ZzC+
G9xmkU/5uyahYwyCkAwprP/GHYDM+dW0iSNgRdvKhSjIGXo57dSbc0usmfODhCrQDpmM8L1vHCRr
vELGF1T3uSVbeeeUepseywFYk9QwyysW5c9W8vtI4BRxb1OyUvBjX9+epMJJhbSw/+H6C0cOQoq/
y/Lk9cs0ULgNE9f/anhaFMgHVN/+11ZsFJiOc96KbnljV15WtbAGam5uiGjcUCptz3llDaOfC1jz
TfIXwuDG6y9a3dXJdrSSelDbxUZqh4n8ef6vdOLmmUq4nBIOKnRx9OevtkKRYqtutL5neR/UFgU1
0taMckib0Y1mWlDJunFeow1Dckx5j4XwcpFNj3XnF1vcWLJvHlWd1X1Dyb/t7QcS7Wb4/udhvoyx
3EBC73RdmNQywIc/q/f/We8DNQlJqfb1+9qPPUYgplKwPwI1M/ENYh6Chc4utTk049Kalxw6yRv7
89tiSUlN1HeEr6hmuri2l4sVahtZwuC335vKs/DhBd5rXygMiXHzbpzEw+8P6dSX32q4UnjUvgNO
8S5Dq7DmMtIZ3tZ4/g0BByPcq/nGpZhPaevPyyVfmzUtjByiLNNKgB0m03s50NVZmk41u/N9IFO3
6mOBeLua3ut9zLsmXvRGxQ4Erp75Wbvput0OYblv1uPSdcnVgC63SON638V2U2ca8XVEEucnYzx5
wqoe/Fqlew31Ra24RNsqNtlci11RJYvLPKEE9MYxlS8FBXgqwkXlK3jIhnf8m5wBy2z03Mzd18Br
vcKD/QH5XkdJMkGqiuUewI6Nku3sPSuQe22QAdxJJ5OQH63L6Pj6NC3O22fIfe3FbaINxUGiBksU
/ptZlGs5kNy23deu5xTpozOAJ93ZMnO2G2eYNpZDoRDfn+A+bYg6Jwg6Ootx+Iv/kOo9sS772i32
p96aBv8enaAJEFZ3rit1UU6e2Z52cBQmRODszQ9dX5T701755VJGooKeb8cA1RYb1DYq400HzAYV
bb2u7J3jFfCAomEXKQg/FF1nOPnBZPYO/CcnwNDPjyensrYlgmZY8BUg84KR51ZjYoOx8+ry2wpS
DbVazb2cH12n3cfbvi8TtF1V3ds0A0gTtGsIOJb0SxOiTXiaxQyj9RgAfxV/z7qhUvaGbbz2mqx+
ACBHFxXDRUfh8dLWEU40qVRd9XWXqMzSaLVFQJVwaYu2ujK0UhzFn4/Xa29E9uIKmJ0mKuXufv3E
oac7w1I7yxdnR8LqxcvkGvdnD0HJ5e1TU/G/JoWzY4SLPY1DehfgWLDTPw/DhLMvrlEHZr5tOBCe
LSgWOK9mvkPV05by66faberRoQw5edbPVmcab5SVQyOP0ODa/P0MlQ+Pg2K3JfsJR3uGGxGgkJ+j
0U71TZWE/iPl+Ar1+rBIf34YQ0tQyPegJN5gRAB3hXATKituAgeFw54J7LCdM6KLq6QoR3PyZ0jv
7yCGBJDhnLJ31vktAOCVXwsdLijCDWZteub8luyWfpI1ix6CT5AUBUGs1/c2Qey8G7sl5XTdywzl
L2a7lsrhJUUZa1yd3xmTBiRd7OQROZt509b5XqOQ6WzHuEi9D0KibpzptXGxe1vJqUuW2sTUcgtr
TmdAxezNdPiVZwuJgNBK2Hg1g21I8cpVa6qOe1s09qdwhHjXncYuNQMY6VBgju7zOQa52hhbAnWA
I46vNC6l72DffrMySRgvV8+81epyKL9VYKzuZb5ACNCR3pbWvzdw8kZjF8dMcTN6IUQHARrYLqTK
BGeX+4LpvmGfr6JMpobiyrUlR0UgJHmd6Y9rCXQ+tdsnJ52Npxp7jWmR0uftX6MIS7uJtrHV+xME
NnM/1lYr2ZDVR7y4HffalyPaTcealk9EqT3LgVzfwfqceceboI1XmJi7VJ3xbhNu8zK3uwW3NhKR
8MCchhz8ixxLshR16rIU4xhk1mgYGQVHIqNOzb/O62NcYYle5n8JVv8hDXl1RkPCBaKrwPZC0k7x
W6grlx2ExdfWx7kOWrzDOby1MziJZUxmmaXNW27h1XVkHukaOAoiAX+Iml46RFG0RK1QgT4Ok8RC
xm0cMSjuftbHLTq39Y70eWhXKmWVs7HgFf1zCFlweqzSQkOc8X3gI4ctTsnohjgDDuT80NMKjhug
tjj4lFe4qH5tG6yrhqVcq7DhrHCKzHak5Wo2wipyOBhIKAo1P4i2bhmJZ4rwT2hNTJ7659UG+nrp
E5m8uQRwEhIp0+8ZFeHgYKVi3T5mGTXMJBonOEJxsoikuKdY6fYIS7Le78JI2bYqsqjvda6vRTU5
K9Jyoh3rpk9ry71L6iygwcnSrulfFH/F5ZJMro8uuWmrHy7tbQB/W7+mZeYuq+WdO0ux7oewaJTX
xZr4cZhOy+KF8z1ge7KalgmilreO6KU6NE2PFqdYxwnCcruGei8iehT17hqnazlzGOa9XzY6Slhe
4RYnhJaT++hX4+amsVgloBbUqoW2BMRvSTpejVlAZEYnoGrZd9JaTLG7WsstgVM9dIV/mlWQ0gOk
ttb94+K3dv40uVWaHBx3tGW8kZ+2W+Sn46AOKreXMqZ0lF7SI2k8oMtZ9ptENUJcyAUO2ym1hjAT
x65sa/fT5s1padHQQ6zrx3VcnfHOGsbGeuDGCKYfsHz8/tMezCndLbq2ldnwQa2wcS+SHHTjBEE6
rNtI0a7EzuKg38Euv8u6CJsfGfzUeaXxwrjpn2oal0XEVLYHWVyOSaO98EAe4FX+RVJbpX+vZGCV
5cXsd/ZQZT8zBM8jq7xCWezdu91pZ0x6h0LcZR8cX4y+ODaNi9j7iiJSnlW3jbeWOj0Wczou8+3i
wSXIT4lbL5P3kDS2o69g92dpeMJWfKeE4rULrvVqCPMFErzl+nqkxUWP+PmKBhxWRl+ivOa2gfK0
uDjYucsn7zN0Ot8brjCOxUpoY0HYAkGjI+pS0bhBlvHfVXYQ8DKe37TyHOpDhNDX5XF7O7j6+z6h
IZ+vCx/evOlVhYwggHvrlRMtpZpC1mjG3dnci8KzcqaTOh6Xyrc12Xyh4sLLlJe+25Zu6YL3RWIV
S3UKSseyuytk7Sqc3/mF4+Uq0koZTCLoRy8rEQQkibXfuAg8WClr07jsO7y2zrwby0n6oLqF25TL
6j2ltCJMjkuBI0iPbS4dxo7LMkPaZqsStulCsuX6ILqy6KlhjMLyms82BEaeVxeVUp+mNNQwbEi9
WVk7nHJukBjxsPkSxk/IEmkN2cw+uNnA7OMuk43jn4psMSvmVGPJSztkI2hyHRiX785jGgaxWsYW
A9gb4o2LEWYEn+vOU4VrsrN8ugj4j7tkSHhalUmDSMvcbI/s3Mz2/iWr1axz4yqYOgekCz1bYdG2
JHN/Uh9XZBwwH4m04iWUG01l0Hx7dG3C5Cc9QcluprxhvdDWthfZRG+E9S4sAjPknJ3u9kcfy+IJ
Dj/S3xNrNQbmo/1i52nEwXuVqs3SzLPko1yxoV4Yw9wgLw/iX/Ppe8fR3wHcMt7z1q71H0vPRSFl
OOAAQBDVYOEIuuo8W0+yD4qvDArLTC4Zt+fFmLCaPv4V4ypv98y/nMEroTfkvfX4a6mt88f/vcjn
z4EU2OVdYHc1A5CNlc3fy9zvcrjujbMxaW3Dxa2ilP4puXgkAU9bFXnnjUK4MmJqZN5Tn141EjmB
F8kymzf/naqnllWa7briI3YHxtbHwBwJfJNSbCboTWnfw5tVkAr9XZ1XkPYDLjOkcYWZU2bn5GhQ
Vxp/kZcQcEx2Ls5bezYPPykr1gdiKb9x9ILKTH6luo2dQu0xj8nczOfNrdVwjj/tVu5O4zUzdczy
ng1ph53IKJmk+RaJLJrfo3ekg3VBOTJDPy+otS87/2grp3WDoyXorVBc7Wht1+4iNSCSOC751HKm
VZEa5GNY2N98Dmz9Xfppg/kMHhErk+9hlfjvYAaZwbX2bF7o2kSXlbgy1CVDWfbM+JvJT7PlE/yi
Ks1PTWrKL5l2ZOpclsMWyPHGOdtKXiAUCS5+Lbkq5p7h0PGp5Eu4AVoeXnR5yT0/S7374hORWxHO
h05b1IljMaQJD4cDRNdnlDAd2GYFYABkwzZl01XQpuY4T9yvvFduk1+Ep5Jgcd2uHTVUtDRAUSSg
R1fKreqZNnwpeb5UcuLzGbJ0Xggaveq+1hN/b/UCbucJOlbBVAPLr+7nckwABagP8XSZpe385DfJ
ShaQbLux/UXhyovT6mgbDwOLp5rCY1VzxdbH1WoSNVx5iqtq/SL8tcDfpFXbluXlLzi5GKusL05T
RluO7q/NhdLrXHZFxnJcOM9nRrc0RmPbE6Rt+5MDY2kZP2nIlIt/OZ6nvqp0YIkgde8lMyrTZfCO
/i4kXm6kHQs/k2tnrAa8ypj4GT8Nh3JhBeRkm/mOeW7z0mPgfF7noI9WlFc7uLKC3tioCMhi8+s7
p0MT2Bx8FHkY9exNA3Z1Bll2CYkkOU2N7hP7Kk30znfsZ+gtIS0HNdSeWwJRJrIk9a1rcqcmHiuA
Ce8GOoY5T6O75IDwaRmOuErHTzbuvGHD0xQncj2zeDS1MlCBPYUlWHxRNSm/TkWbWX5ZCM8S63pJ
hr7P75VTGJCynXBYtJVIHH/84AJjbckRMre1ZSd/6byKpmCthZYhCgCB/K8udUNSci5DxebvFhyv
BJV4ba6N2kuMufX0UsP4zisJ+RQk2slF7syoq1HbBR9KGFzWY08wDaqwd1r5X/G32Je1dDsrULjC
zCHpGgvnT3ppUCr4XgZApr7TLt1XuJWZlt/dtfKre9/XHVpF126H0fp7yRGBJ0duNKfyoqEC/7bi
sJJB/wQiuZTjR5HqIk1jmko5GfXZgNhG/1BzPmsb2lQINHHRl9Ncq9iyUac97eisoSxN3A4ryT5M
PmLKIPDUJCesvC6UHc+8aaE6CxYqU+vh10zOe0l3OADi2KNvo5nWs7up0FhhbmpLjTch+jeHNx9q
84nmGb1PCtu850lBN554SzfzwcQBnYD2PTWmtpEjLeUop0SLyf0+bpJWQBxUcypVbX7yy2SJKfFE
dKszPzpD8MadWmncr1vvBBDIexG+nzK0rW1EjzEAe9gIibKvFt2YU55au4EDB+pEvLiEZSPaXoF9
u4L6A0JWZUZe5lQav/56kNcj1XyEZsxmnzO2Ji/2ALJb003uh/LssMoz0KiRqGANVqUNCDnQFM51
D3UKwy6JMu1P1uOUex1zHheqePN1bqcmjMvoPmY9BnNlhjU9HzirLblHosSbzCHvbFNmhNqxGpsM
EkgyeeRltN2o6fVVcRpP5wUBBzZOrwx9E2K5tBEpbjLbga/6BvD1KqEHy8E/YME2zs2Xv8HKaNIJ
TsvOfqTNm8+ogzRdOQ0L4ph7bbnmBFUzwEsWzbk2Y38ju3uZ25nH+6ZWA4/VtId/Db/309payxAA
VZ1dYwEGzCjIAzhJf37UK6CJ0yQCIXgWkBV/+yat/4fAaIHTFyaEkv+2EVGubRvrLnHdd4GiZoVH
hjvPy4QgGyNxaXPl0T7l2Tn+eSwvIQSP5r2gQtJj8pTDsfNXZaFkdmzg2yJ9pMcBbiyniSwuehhC
BBp7S+j81jr//kDahAMc+Oi1ABfVK1yxzHohq1okD3qlQ8zXtOTGvwpo3GpgzeeT/ecJmu4k/wAy
zQzBbmkMIu2Qpsgwn16u9lpBn2nGyn/45TGWjF4WdD3wnc3zTisUj/lUwOfpP0yLsxWHemqMP3d6
XIM17Ghx38CU5UtLZ0SkUjDpKY0iEACie1UW2+AiL8Hm6IfqfKgW4jrO+DqVCX49D+ecLchcmivY
B+VwORBaWJkZSNE5ekI2oMnsT17ttJ6IVlzLFuPqNR/nfCTyPt8c8sl4OdezurOb/fOyvt5GNs4V
jvComEgpw9dVVu5dqOGrNd9niMpYzv05EOoGr5k+bFYIsfe/f54n2Ejzn+kZ83IXg5VoxIZmdf/r
2lvTTBeRaPGsrWHSp/8VtOZB1gtlCLKI4+ao/uYOnIX2lnSPK+7P1xJBstmNoKw4F3Q6NRfGnydo
gLP/q9aDz9LiBUM1pBQqxfz75QSXDXF9v3vlZdBYfQlnt6Y90lef7tFvHsHfH8XWhZS9QpdMP3jt
6urErrcp9dPLcygye6Aj2JGta17+PKtfVIx/TAyskEfBqoVAhgsJX5cLhaAuE+TZcNHvdGUZjrYH
W54YnB5fU/v3sDfU0ON2SMFW6fGa7GSLEZT/UdY33NZQcNK4LTuQn1vbBXsQ7+vES9OWtp4LNeF7
2sCUct3ixKbk9GXQuiYNQrfoNvpYV5A/R9rpCn+o4dR7QG23DppAx3+vzvW80icZcd4ltNrV612Z
ZrOCMjPNfk7HWVFA1bgk0Qhg2VUWrPHm8CtACSx+LaOP1WJMgQg95LLwn93YOdUoF4HrXrLaxnWT
GpowYKFLOQFta4fkCY098QFCLH8K7h1kPnyBdfaAHcVRTrvoQtrhROVAr7o9aoZeNfnBp/9CMUX/
hjw01yZShHMg8xxBUVlbWN9dh+YSDzQ9T6/ILUrfpkl5yyPrkqxivhZUK/I0rtZ6IJ8Cz6+K6pND
2KtQOW6jotlu4QvLgAHD3IOzbuc8TC10tNSHDDo1sCsITECVIaKTZtgmsTW16SLqSDuwh+z3SisE
PQgE4Azrj96m5r1FcgUu3ByIAWE93rdIIlr/Y96BNtNEJHChE5yyHllKEdeSoPPvjdRzCK89f13s
r9JbtzG8BzZLug8NIofSps0jxGkyYRzHOiJSQfBjH5t2Y28Py2rvtCMRFsjEHBOaSY9m8u6WLLel
GsaB5klVseRk0yrsqYuij6ezt6DF6ndf1OUG5d8l4EZnFdBt7XMD8mLR7fBccvvlizT18NS/DWv8
dnFqssqnpfmvOAvg28SJWzOaS+dsGtVzNNgEMFmJqOlhNtF1qRc+3Z572t8GDIOWCEhyS2tWH3Hi
bfjYNcqqTuiGUy/K0nR59LbcKw5bviQXuUt3g1w4+1WNEuUSJKN9CHrfjmnEnN0H+VgJMOO5/5hg
1Jduaoi+nL7se9F31edU5O1hhedKLlo54wXJLpCS3Xg3YSe+tjSzhVDe+bc+jejpGJtl7K6waJIS
rO6xaPPpHRKmURy5u8djuCHKwmL9+q+smx5tSUvT3rXSm3oexqM3AEHDfUkRSE3qkKkl/IDAQlPX
7/IfOY0YkIjBjd7cpqFzhNLX4W7Xpy1pqAI3nefy1fw/DsRu0QSnha+8CsnHvvdrO13Ae0h+aFVW
F+Uqqz3aVOGhPhDtY+eCzUcVEA1dAZw2/bSse/itshqPVH6qPy6hnR+FPYpruh1medRalnPrAtOd
+nFofg6oYD4AHubwlUZH/ZCUeshnZCcfZrvI8lO3NdZRDvX4MMwugAOu4DDA9L52BuQJNGZF8pME
KsnCz/lsq+0KBsL012C7hTy2UzeS5uRwaaPZ8cKf4egF9cFKrP66VtARDq4ciw/r7JTkSXV74w2j
1CgEs/abKIbulv4H4mbwaeKM7/RMDTWdl+uVcPZOBOV8BfptXecl7b0OId7vh1wWRIM7igw6EcEr
/LJ0evmpLWuN7Vzu34ahaG0YBR30wX0fsNysgvILY6qfDt2+lOu1P6W07xE0X7zfZIAjJqVCyehU
zjUtQGiagUqkP9ndZN94Vb1GIL1P3rL9JaYkuXclx2ce6PULtChyetTWc3DwtpYG4cHY3HeZ23+B
q09MJihvp0M0lXAgSjQsqddF1uS436hMt5FjVw0dpRcnskU9flhlU9IheqNhbTmO6Sedbfpzv3a1
Hel1WuNEIsiNCsZHxTUEc+Pgrdkeu2u4vFf2kFVxQ+u0bwgl0XCmon5q2lxHXTfLD4oiwlVnG+1q
L5Jrus2j1wz99bYA76cHKoArD01GWuVbyEjTKb31Q4tGNZUs1bfeIqg5hMRnReQVg37vLz7NVm3t
+7HK9+BylG32Hp4O3A66q3yy26ajCfcqL4pu9r/1TvJp+X/sncl2nUrWrd/l9skBBGXjNv4Nu1At
q7LkDsOSbWoIIILq6f8P+WSm7XOvPbKfjTw5zrGlXQARK9aa85uckx/Xrl6DYycd4EpdnX6Fte4e
M+VrDWbAXO5VH8LD6J2OiW2ZKkAD43jmhaU8dtSh1i71h/AxbFT4KmYpHgqoIK/jOq5fNTc4NNjW
vnIQFhxNdoq4mzt1T31p7MB1j5f4dMtPK07To4CmhjKLdjIYEdNhLwO4xkaZB/SD3NI7+QxmIjk0
xbF0df+Itkvw/kf73DIbAVJHDOANku42bLL+ZC1VeF/X/XqRDkW3n32WXI7BdX7dOKY677Uz3TZD
0j/0QeC8AcNhcbC7Zbx2yFrYo52cbiyhNoKwP53lE3YS+jZBc0yIM4g5HqOwpO0Rnq3g7C4hBPUf
sDlnjwGtk5duDdQDG3564mHzr1bLUGiYvPxQhYlLiEkFhhvgZBUH69JAKkaLdlhTo70tacHfEmYg
cWbJyjz0wJxepNIOpgF3XS/70NEXCJVKugN1+5CKNaxZs2vMsX4ZnCxmftEoV+cmGFNBZ743vhiJ
jQbtcnGdNQ8xIs/UurGvaWkHl6UrRl/tTfDUldpVoUwuJ0Omt3RZqmvDWZqnSvWf+ZmURm9uPQ01
FUyh/eJ6BpIAGFpa+XnYSvuTNhI9RcCUzSukPvoxt8exO2Z2JZwozCz/Amt/HxxCs27C8zoLZMwc
F97WyLw7DsK1htiyqnDc1SJprluDef/FYsCDdmLPnFR/2YUjgx5r7q3prHG6+kbMjvHBb8JcRt7c
Z+0+C2V/V6T5WO8Z+S7ZRZ1jPo6NvnERISaJZRz9cRjWuyVoep0dt9LDjMNuJq+h5Ftrp7QEJBR4
PYx3n8olcmudjFd0Swr8W9pKHyZ/bZeoNSvvErleYsWTRYl4oTiIqyfArMD0WUd6qVyPwiltkBWd
RuX55649m03xsIolsbFfz50JSMhmsTPPAoeJwLED7oMJdxxcfR9ilClQ4KQVSOjeSEC640cN5/tc
oJrBQO5UH1qyAtbjxEGzwDbb2dDsw2KGENLTx7+ClL9OMQK5FVfLmp8XOOkj/ILluTKWeShuqsXw
wlXw9TfmXMf0aepyU2lJ261vlHKKQMWLBxXDpsE+tDwPAePNSFuLXe8dS1fZJQSkAjN4Q5s3WtXc
NTtRLwx+fF2UpyZ3XLysDAqvypw2aVzM+XwSqWMFsReYmU9LDND+WZn2knGkdn0gUBPTb0/Z6tpw
w9mP6iLBFOtjxKUVR8/uyZLk8IwhpQkAjgXmf5tYAlNEZmOqpoTLjDZiNo8UbQIU4d3hJG19CjMd
LHkVsZIq/kKLWXfO31iEusDbZ7IiASftrC0roMZlle2lPQP1uLKM0dOPDHPr5FR0pNKk4/hpXbP0
Mc3kpzSULgET3VTfT2g7SNdJ+qPJ5mGySHg94y9/vagWu7ruRa4PY9aHkezkCncCmSYU7tqt7/um
8uK+95adDnKH9XVU9RtOoPXgt5Czu3ROrpgwBnDM5mHC6shm49yGIA7ufQREfZyP9Hq4H7hhdujh
pi9WK8sPsoPhsh98P70ccIff625Q6V7P6Zic0TWG3W/UmM/rtuhiu+mqQ9kl7n1TmtY+VFl7USYg
wuxydi5sydCyTQeG1yHHoti2k/Fzo319XGfbrnYQqysIIuHYwZayvPYa/eCEdLGf4JoMkzlHXZkW
keMNo9yFVp2gIUUQqc8Gjw+3X2hy3wOayb8kzL2xvTJfi3seymm3LmV/zS7P5p/DRQBCSH3BW0ju
2HXyg/ZDL9JYsJ+KPLU+0XmbD4h2gMWZYX0AzVbcwqPoo7H2smezqR9hrXCS4uB28O2keGknm8wN
V7TtizCT/hzmAJjOpJ+LIMppjp4n0uZDpyYd7hwIF4ddcYP7W5+Pk5W/lZnwP5VJaj2XlpguRya3
sSu79kzQMn6i+W6DBQvXWe5EYXZXXpII6lYWx+0mdN6ccjsMA0jddm0QcK/tGBj5Hq4ng1Caya13
1ri48aOhz2fFrGltaRb6U2HBrGQdwVmXF+5VJQf7NcsyVe7sivewKwDxgNDk926AZO6JbJHuWe3h
yQOxiZATfh3b93mNs/gjjFIvi0ophPmJjReGUGgE03gyVOnFcJeNU9659uOmGwBQNpZ6h8NZ3rjA
8171GEi2B06eh1YnqKHaxBWXjO76C7kgKtn1KSXN5Txo+VraasbaR5tx3OWg69+UWnhWeCg5p2lJ
F/MLvkz+kIncuG+KESBsB8yMzXXGHLbJRr86SEiTQ+1n6sJZOL8BwnATFVdJZ7h7o6vR/MIPcZ/I
oapecErNcETFEFem0ZnXevKte6ZrQYgqiBpu5yliR44TRdU5q18z7ecug3PWzSGlJyoOo70WMGiM
CAokuqKlNl257yEsQSsZ0Cw4kZPVGOfK8ZCOHqOUuoyKkiKt32/H2DFKIITY1NSiSdbnBm5TeWND
aRpiThVJuQGG4DXIqLd0Wi1Hw7SLxrnxtEhAclpdLj5XyEaBLI1GQFgWPMimnM2rMms9wk04bc8O
tKE1qwfCrdhw3SXOmF8F5KGh5naWuBmXpC4vliCxBdQ/zQFM3lYj3SGxm5F5h/rQazi6z2laOm0a
TzwqjFFw44iGDIK5az11SKnVmjPgbEb9beiGeXT30A9yLKVux6ztHvYes5ejRCilmrhfYKkWt4WW
JdfBAYyZ6wIlMzMAjMpEa1hfayMkXgVyUtEscShh+Dy7TJmy++/NWkNuAwdVhVtr1LaSWV4QCbmN
udELbHMQnsPV/5I6iQnUH131yvPWWUOYv2gJyyXbNWBnV4OTbULiBFsEy7F6IvwCKiAg88Wcr80i
hFobaVANXXlcmW5xtdjyirZ4FQFuRCKyKkWOwIXQfLx1R9gtdtUI0Qt+wnuhXJl7ew+hai7OTa27
pUWHlCtqHM4OaXeQRLWxHhuqjUtUSFc2Yi5KdxmyYi5hThEVOMdc+fWySLqwEIO6HPJzr8nAAWMw
O+BR5YTiJqR3QLLR5UrpF5B8UnkJU7AxCSU+eKcLnb2/rMI5Mvern2Sgq0cDdY3ClIj5bOdonp09
apP6i9lsVFPU71kPMszbCKl4uhsc0yuArg8YhvTyrrI/h/Y83rqoY0/0gfPL1kwETExPXxXWstR7
KWrEWmPIIFga1X0RzpN/Bnxi9clokOQQkVhUNsdemagY50BOwD/NsfwiV2ADLK0OhkyPfVTHSqzL
3QCseaZAMAjO8aEJRkkhXffYe46q46QO5ldjTeYFRFo6ddYdMWulG09507z1JgNsEnpGjgZglEZO
I31hZXvKiX44aRDA45fUmLeOCxW13URrmaUHfFpjYhxqbQWIc+wubKLEdAj9cRZzOFlD679UY+VA
q/UTO20jGoq5ywnVX4brOvBMHQOT1uoZ6QOyiV0vUdlFaDq6kQLJstEV0dy6Tjl51zunow6/mhm4
zdAqS3/vl151bqRDi5RdgzqRaOtkjXTDXvQQB427xagYKjviW+DC+HNq7ATauhMG+w4eDQ2z1xXB
AvdGEn7QBtkMOoNG6VkSfhQXO3bCJNgQM+301UC8RPOwkOmlwTI8fOJwOWUf/KLut6pL2PmJCsY7
7x3fzV9ZIsVyFKNT3LUk7F0hk0y/QDLmmw+mdUaulmg6I+uazzuZm9NjMLv6lliujI+AjY3psF+3
rKZ+jVmhdMM7i/ahH4dFO51ZNC3ymNSC/OMkHHyEbjk4p8YpCuSJvXvfJWl7UHZjPnv9QByZjw4x
66sVhf5ARAiWo+UaTyUkY1sPI6auCojvLoQINJ6lcBtY5psVOWiaTDNvN6w2aQSn4Ug2/mIfmBAx
Z8V7TB4OkM6RpXcz84O9kj7yQpEOhCOSwDNcCS31ZWpbGNJNN5X+ASGEfJhmX6E6Vg2fEjWA/8np
M9zbNQX4TWdsFe9AtG2zo6ZesLuXSYgcpYRPHrOhFyivaJfcrjUdgN3qSentyxGBXSzMOt+vsFLo
ULjI6ZCN1DIehfw2DXBc7GSA0a7c5cVntRgvZtX0MgaMHtwNbq80L+fi7jfQ9JwL4FRXokrsiyCr
Sh+ZULLABLWS8MIwMvsVV315DnhmuEWrV0RowOzPuGJ0w5wBtjrU8KHoI39y8iXW0wIQvuoDyKs6
y4OK9bcX1UVh2WQUKW9yn4wkk/M1natS0AxogeRWsrZe8hDFw65GiHHdojAx9/7kLhwKQhtXQ5dA
ktjXFhzXklS+KWLfpKqjPo8zQdzj9r15N5OYaEMLu02ug6oWzx0qC/hounoRQ90+9wpyS5ZDC/VR
VCKUSkdu+ap/SY3JTKmtZiMyqDyueo29Z6Dv8qlJNTDdgoeaUM/Sv1FatefK7bbgR7+8pC/gn4zE
DJ7oGOdEQAE0fJX2SryoYw53Y7/YZ2DVlB0VY7BhUxqzRjrT0OLxhyEAI5g1EIVCguB2sLrnY+Pa
Y3WHW5YQUZpbRHMOcFw74eo95QuZT0uboQ2crOcsWeZn4B/ATwZtYp10S/g7VfINWbEZO66jHgPK
/aPlJNZriwL92eRH3J0x88Uh+X/GcxNczQz5j5KEsh3c388IlNWt1MDUdoFqTYvnYL0NUwMzeW85
9ZH9oG84ZgyC4EfEKfz05dTZ/ceCZgeJkBxUwKI2K6Qpq32CKuHcF5lw6sihq38mZWMxCkNpWQrx
tmi6/8B8Jf2g/pUNiuzDmBk4LqZnTrRtLe96Z2gd90YBWGGVH4Jg0yb1Hf5nRALzUtQQxSUDx/bG
WZDSLMcJXCODBdGas8rOTJ3VxXqGkHtRj0k+T+6bC4SxPBVtUCsnSpzeVEYcjC74LhavEjULMy30
EUVo5YRYIbyzVsrGwFzyqC+93pzP9DLTxdx59uweHKeZgk+EKykWlU6CwISG6bsZ+HLqPHQKsbF4
aYqgxUFjhRyZMh5V1YIXmocGGbvjIgXNZPvV7AyiWGIGmgj1wKxD/YVuvuYgGFUMF20TkXMPdoxB
0iJdze7DKALFESYXs9f3T20wJWMRM4gNOPdhGcrn4hpwy6CJEJu8wLP2JoycoXvVECCsZcdvkfkS
Ta1DSbZbIZ5044mMJ7cIIzrW2ydxvNQMq2OWki/RfdRGutruLk+Ckj9DC+974NrVwIH5olgGYi+j
2QwDfzz8YTz3s0GE4R8GaigJ1JhMpT2EDz9PHRuTM0dB+N6bWeAi+WvqbXuly/ipF3WK2nMKRuAG
Jukqtr/zAaOiVKmYo5D8KJrZfyzeB12/f18/T5d5W2Rae9hVYbkyPGRW9PPbyom1890097+Urdy8
TfV34UcN3JEb0WgZl/1hUPnzTH57RWzcfBubd5iR74YK+FGTQdMwUCZ+ia/191ccv6tqhNv0jOYH
P3M0IriRqDcsH3nBsPL7pfgvzeE7zeGnHPcfaQ4WNu0fbo6/YYX/By9h+3OQzPcf+YvkYJmknDsM
6rdMajxY0H//iRO2LOcfOMG97+KP0PTsf6EchP8Pxvom9ijhM3lHiPIvmoOA8sAAlgpVIIxBpvGf
wBywdXDj/DD+5ql0eV8hPiyT9/M3+UndsRUR5jKhxJYMWbfgDVVXDUAQrzUvWjkGWBuLzlerPpZI
jWvzI6NClpQSNtDwYNdkLvWMLASS9qpnYjcVkQ/UXAb3uUep5eGbJX+DIGk5zfROHOy5NeeVcDkV
xjQZVMAImerxjANMPUAi4bjSKHnVVEvRIO3OyUgJA9lcuiwE561Rj+ZZkXvL1eIkyUMhOsls1Hs2
hnY8Tu3obw4RXBxuIS/f4wRgwGpr57ql/ZDB5W+iPEPFSEzuBtnFABbu0Q9Dba36dUv2rLz5buX8
+dmUNmcOAsjHKyzfnMvtTE2a/tqGZYXRZVbHZh6r4zziHCRets3PvDrt/GvogmMRDYRbHBlbUXN4
clFH1Zej3hmbSTgDpXSSST8dirX3V6r2hl9MRQsDj7jl8cYmJ/xFTYt1N0FhGI+tKnBWDDDLdik9
yzka0mXdESUGN9PtxmcEsctTsra+F/VpJ+ezuUWpxnnJ5YNy1tX2M0b/Dk+HVR0HG4i+Y5Xj3ktl
Rzyl1cNDbQGg+Q6jcHxVULfycnLPvGTwn8KNImOrKRyOeYFu/JANPbPskVudUB4kQB86r9zbQNHr
o1AE03qtO9OSL5SPLLIoDIJamKDt4BD0bWxqNj0agvUJfWAG+m7UwcGepmk/qaKNWM/H9LAw6uSL
TqV0I2uopm9+kpufV5Rfh9LlaTyUSd7vETsun2uYJ/YB/4J71O0s762mzy5wzFTPLdqIXWKOEOhg
OSpsXllqxnbv36DQBVRrZ8S6E6eO9D2ryJY1rdka92ladRA76Stmfh/ezG7HdCrpCUFnEz/PoFj6
u1bUJWYkwbTPzXT1xSSv4AyJmk1kH6NRkC7JJ54GBm8YUcLXpB5B2C2DGstjqjr7AZCUPpv62j/Q
cfNhcjTJcE+R/mZOrhGPS7DGGP4pwXkC8rMWDD754WzDYZQCNbusvco5J/0yeEGcZR/HIfOSnTus
ZL67o82Mxa4NEQ9J98A4ur/uAnN9rcgZj5HfL086l/UpWZGTRIZhhsVOGpSrozSGm6Wdm+vOxbmy
U20B79Iec5I6acfGFlDvRy/t1G4ywuaMeUn6UXXb7JRCv7orHWlHw8okj+bzUbXoZeD2kleLMNr8
4Gadjhb0MeGhbRwbi7WbWMnFe5tDu0rewOUMEXOa1deGIJSzLoS9MG/qqXFewh0htm/wR50Yp8AU
uTS5T5s5hi6o/Xmelo/Is92oKdNwjsPR9vsypl7mOuL47TKpvdtpYPrBy6LO1kv/fVv+7674h13R
dUM2kn95Qf+2K0afQdfQVMyRtf2bcPT9p/65MbL7WQKfLLubDffD5Rf+xdm3bOcfbH7mZuB8N5pT
Fv7FOHLIUbNQXAWI3ni20cD9e2MEjCT4hX5gft82rf9kZ/yFukCTCnAOsP9NeAqQzt6qgB8rLoVl
TnZaz9fNJGCeTJxbefYxKJGVM40fPMNdzot5bMq9CUDsRbXO+Fg6w4zaOmy6jz98e7ff9+MfwYV/
02S+6xmJ3abyNKmHva1Q/kGT68AHLENiWq7troE6X5J9uCN8i/b7PCr8QuPk6BefBznf9XUATgwJ
Mhscdibf4azrN19CpcwbfkdGG6qqrEdkm4F1XDw3+Wrhppr/ULq/8+h+LCy2d4wfFRktunGT8uKX
d5wzSEDur67xC6Zp7OF6fITVHoiD8pfWBRwyW0Wc+3SsV9+jkQEAFMInp2aLAU6rvmSEe1kRGeAE
O6scWCXpkSbKlt4tMRK1RXZbaubAtCOHGAlD+DRk3QUOSWjWUKC8q7wn1ez4++vwcxm+3RRU/qbP
hfC4NzA3//yh/MWg3Sir4RosSAjaOAAi6ZQbC1420NenuQ/vZWJVz79/2Z/PG5vac2M8bJhG7kX+
sb2tH64+o6nUkUPakFcE2xn/l75GboejLsmefv9K28nlx6u2vVKIfXpTU+MgDn65zyS76tqxMV4j
rnI+YwCGrJioYLF3EGr3Zoc1KRLmEhC3Ityp/tNN86sYmk9pm7YLuAqYMqvDLy+P/BR84aav8LvS
BSSjSQ2ttveAKXHY066DQGty6Y9T1U1IZ8rW/0q/Hz8p8S6XM2Rpk3R7QLZRgR7ukRmvLeIsWJav
0hhlbBqIBCKKNac/ucJb9R9OadbfLxRSY5YNRLIY3zmv/XyhTE+7jesmxhXxX/XnnDYXuRNGqRpn
JxZYHedTlpevWNBQRq0dVh2O4HlE09D/pvx1bcHkpz4Nk2L8mmPw+DK6MvPPf3+JUXD/epHxyHMT
eQw/sDZT///8Lr0+yE3cWuKKik4mYRCrMCM47X2PVqPW2Es688NYL66GgZX5jJkaCsdeHqttqy+r
rr6TsNpAplZTSlhY3Z5R4aidpGB6RNUSxAn+k0i/1xHMNqgpkmJorqet0IDwycQ9tag+6M9Tidhj
Vp9QP1R3dpHepqhZ5l2l/e5aUcWo93rG20obK19s1gZHrzAbp6C4JA4geKG+dc6zrTRa36ukCcZ3
jX+Q4sl4r6OmraSytuJqLeY3OaAc0phf6PPWyj8kA7HNsL/shy6DandMfIN6bc3K5DV8r+LypjM+
6a20gxdOQw/505nVhdWXfJQez/1WDubvleG4FYn9Vi4uW+EIRTS8Ybo/7+kwdQfrvcIkXp1qk3iC
oIvGrQitB0E5KsMbUimoUDEpqRNbjU2a51bCBsqvnufazC7sPpT3LvOjow4Lw6ZiqtfPgdcSm2LO
xXoYy4B4PVpgnxmET98QLFM/Iy+mlm7e6+p5K7HFVmwv73V3v5XglRL1qeGvYunYKnRqc6r14r1y
B8xNR+W9nne20l68V/k99X66if8/TNshIH8/DxTvZwPxfk6YhT9ferT7qwTLAvke9Q7tBNKUL1mS
wad+GSZj3lr9Yc9S3r7ZS10oAc1YaS3Na1UqFMCMkrr1iNhZJahGc4SDhV219yaso7NiEZCDNdcg
QT5hhow7MpRIcZMk7IeqKqduDx0oNaO+UlZykxE7gQ6wXPwpA1VeherSG5TgjpqS1hqmSLMXHjwj
K5KbkUfHS6MukHTpLQHc6NBUeR/uaJExINnPaAkiIwmJ+QG3zyEEaXiCHxNOM8ELUwUuez8kVAUH
t0mBiwdwsdeosUs0eHVG4jfiwiUdbpld4WRq0zz4ZugRAHZstrZCKhvo4NqlYk3OG+ErH5J+Mw/d
upwGjmY90pI0I7EyGUaYs2E/NPkB9Gm9nMxhIG3RtTcIrj/DQz2SSJYbEZfV/mjIGpoxw1vip/mf
adwgZjDQLoIW/1jUdUjwWE90/b7E5nS3aiWQwjH4si6yKRv8BikMx98jVH7Z3LMZi3P6kHZ50JJ3
sG9Vla77wJpX2ofFIqerOkDtujd4VHp01JY+72FZVnGaiFTHPr4Fjpj+QH3SQCpcv9ISDj3UDgol
CFCOrDuzqPhPNNhKL0Jq3Ik4b/MkXnVS0sOeehni2p8Kh1i5jgiCGgeJcWEmlXOwZILeD4C+L/cW
qLH2LMstwkDK0Mk4EvD3dlbIsIHbJ8WCMk85I1rUBcannu76gj+U58i+tlYIZQTYjI4hHpZqsvW1
J0NC5Bq60FeubtiSUjqN/EDIyFscQChYzQu6BXiuHbby+TBM7ppfQHFRDw7Ny8/unDC+DCxuXuyk
qNL3BIjRS2CcCIW1EuBrIhq5+/d4lGraYiaKtBjvabJOr7LPBDqGiZCMACYiiqog4fe4VQtE4j1T
CaWIcD4MyrUeLIUeYDd5cCoihfV+3mNYLvJTj+AG4ZvPhPHmPfSlMbvt5iyKbjj61ZANt/PiQOw2
u605kk0Nb6xFIWldsIOFT7TCubtrVsk+Dqxw5tg7hIl9W/RoYO/soAlJhHWKSV8pMhIpPjNSltwS
hPO+nWpeum1XCMSzXasVGSeZCLu6J957Yn3ifTEGunbchk+hO/ymu4xIxzUKy5FHR1YpCUMNhAUk
TpqqIOXPWFNt1WQ3neUsTCaEzEwuNwwXfVXDDh92uak7RD243cR+GTt7WzR4mCI+EQsIkoatTlZk
VCByCM/xNeXBDkgBSPsZrdjn6Z0APAPSvRNqNoeLlDK3oCeG2+Y+YLc4Do1pXXdh2r04eAW6zQif
2+dtANL/AigaE6al9zukSNipjtLma92EdstbWZXu7awHhrCE14zlx4ne0XBC3FR/w4S9rSF5R8wQ
54BA7HO048NBAp77aJhJfagnmTLsdVjmlp5cmRyPwgUKksKNXbu3cYdWruPv0LSFT2C0gf5WdsNj
shqJCM8cwj66rzUL8nIeWNxSe3Sp3COFixzigEBi3LPJTN2F1Wvbi5KwUiM7rRhNSu+u+NSHiP6N
hTL9fA0V2X+I0KHs15blj2hcbX7VXFubdHnCw3MmuSxTZDBeAXYyjupqXnxG/+NAZqI/nJyaEcRp
nTZLAuqxYT3Kqmzbq8abnUtDMV7fZ11DuG0KrSOLAneoswcqETLfcZvgS/DzgczIbJhoE05j0LEL
LN19hRwvfwaYLQIieKjAlkepUD7yy5Dr0t1hqnVuJHJ6pS1kjBASBq88y/FAfZjpF6zHHsVbvv8e
wpTbqhC35DKv7nXtyU1WJ0fTu3JI3ST8j+pm2E+oADHQBE2+6X/8egu/Gqq9NZMLROQ28tnjCuiG
t+rMBAstCZKBKKE92n1k0ElkTkYbhMchD5+41+vhtgnphhy0LUM84jUZVbtZvwABmQJrRzyQ/+ii
u5viCSeSgzC6AlXUJcAL2dy5o/eS1O/uwMGB9l0uVNle+r0k1wgNaUUq3LypQ/J5NtKrsjfkFNcD
Yhyg4rVWV1WV8P57XPeHIQvKDJOKaZ4tncNzv3iYjWgqZv7Ve1X6307KHzopWD45BP3/Oyn/U30G
W/ZjF+X7T/yzi2KHkKJtTtIcD83vOOjvXZQNFA21ivkD5ykO4R5nkR9A0QDXsCsifxCutUUcYlRT
2f/9P+7GkDYZubFp0WqwxX+UUy+289q/j5PfWdGWiz8RChq9nF/NrUwEl7rGSvc1M1dZfCPaLRFm
PE1giBElqsJengqYG+owLKJi6j7geX2bk4p+vwXwnwQYaWyqnxJbEwG/TZiYCFOCiszYx96sgW9G
vSO9lUQO0POjESHRwEqExlGjbULyqdnrOPJK5D6pKY3pMVOaBQCLWgoO0kFQhSxs1UxijmJIkSvu
ZnSRjPSqaTaC5NAQYCjzaBmyBCzlDxfy/9XU+fm062yUaLG1mPifu53IuAw/HutbfDEs3av7FYjJ
GFY7dLVIMJBFCFFehSlSAaxWVt7U3zqvz5cHUGsb8dNGk8/naahr5sffv6X3rsyPFwxwdGi5PmfG
dyburwNXQr1nOGV9+sWqTPgS0mEKfb5C7GH4nBlejmugxi1pFVt6baDRCM2y5MBgSuhxyPE3Ep+v
CTQ5r8xxMLP9mqSrjtdq5lLslVqz9QkEGTQfcB4l5O6VvBz+Wh06g9uhdx/Q5f7hVP6zn9Rhdwf3
4YRhYMLP9XgWfv6ak6ykviur5qs5MZK/RxZrtHc1IR3r7e+/ve10/8OXxwsJAOyMrF225YDX+/mF
lqruwpVIxS/b+RtZuayS0oHtYvKEs8cWzs1EjMVmt/PcCvKexMw+3mERBuj3+3fycx9i+8gCuLTY
3ILbOf9XC60l0oVzUeF9GYeg965duRQcz3tGA744Tyk83T9hrf/2JdMvCVhKhM+cmm/hl89uWKmB
4twXb5XuemhfJDFsWMMxIGdp+sMF3Z6Ln79nFi76v/iRCYL+GznczpuqlLlrf5mtdMidrxx6/Cw7
SyQZT+TZddtXXC2eBpL5+6/17x+Se4h5rWfagcuiuzVWfujDQdzC5FqUwxtqBx2su8Lf9t2E3Ey+
3d+/1C+tpO0SApC06X/TDWPxNn/5QgtmciWG3PrLUDlu7Z/oMTSPFSaMDgQOJLJU3szhmpj1ZZv3
zYZmGjPAuMXgS0iENal9c4LxKanDD0VBk9uJsrGxq8tyTPtgOenJAdx6+v2b/tuFcbeRNB14ro5J
f/SXBY0o2sAGQdu8NYvqeRfAukrIt/SXAb8Rp9YKdJn0dv8EErX+fmFgEHs4xuFzAN38ddlKDMuc
Ze8ar5zkLZtTA7pEomz8QMJziCxR0RM58ZiU/mcMg5ijYuRHNFQikID2+JDDi+IEAZhyVWQUWFtu
UuNBVyXmzhmC+A/fUvDr47mxtOnq8piEMJesX6+tm06yr3Xfkq0GosjD97eo9Zbg+Z6bal3MdBmP
4UB1eA1WLudpGhrkRgaS/GVhsQxLJ13euAHr4psHIJ7fQEbjBqEaLXqH374vwPiCWV3cGSv985CG
qMXwMvgld+pYgcQW74h9tuFGWGTD7zLCH1mijQHq/RLb9EmCDzSi1PxCrholBOL2NeG7sAuG7t2O
kMiNEmU7HWGP0L2R2t9Kzynqr96krdzawbYZ1lse/9B9bkgygiEL65X3aMkibJAgo3l9Rh4ni2av
vRlC9KqEPz6M/QZKHQr+C2QxxPx8JVnmtVwzO5vR9WPvoom60ICWm8Ud8M/GVWbgW6DRXZDUYZwd
JgyMGN6tfHM35zBiau/ojnOmPijEpmxmSzdv8NMBdAm81SINeel/0pEE3EuCJ9JFetcCr0j30gU5
oubEGbv8qnKaALWZNczNRYZ0S59rTDXcSzMGHr66fMzhzQZMZtksiS/Y9kyAKjZPmww6hZirdRoJ
8+mvD+AW6h2J7qOAKmIivja+n2s23H7DnG6L2F/wLY4uG8+cHBc6ZtGwgQP/+Ts62Rn9XuRYbDkk
2RC15p3IVpfvQIt845zOMmNxXBhqkZbx/Vt1ynLim3MDSfDdaZpUVp43Va/RKFgZEJB6Lwyfqm2R
yWbil4vf8fFY6LfbpQ0Vu5agHcpNUyReUd+RCtn66F6F2G4XzE3Em+8I7w25a1JYYlwzMZv8QkRV
VuIfaI2UgTg3aIEvbx0HQb7Ddh4LXt9lYbSS+6CCtVHEq6+DajpLvGbcMFprs9VuBWcr/ow8tmr7
EEUoPVh60O8agIv4KXnHPiNs3l2/infWu51s928vOoePlgaiE+N5iLyY39IuLeKGWJObwb8hGPDZ
u7AcKN7SwqfnP0662N6LE6Jp9CIPa9TytgQdbJxYgBRzTqMXbFEbRZ0HW92WjGaZXw+biOw51w7/
EoVi2dSLhUMYYRV1GOeKb4RCbqzjNfC3e66iBGTArWboodgnvO0W3Urr8UEGDf/srKDiAfYLxdpA
6bhSZThTznPOgXzdFo+ta/K56MRGDM7gmvJLe2apXAmXIEz+T0lLjP/L3nksR45ka/pdZo82CIca
s9kgEIJaJlNsYEwFLR366edzMqtvMcgmrXp9F51drGQFAg6H+/H//OLeTXO8HrYwIBpJHijoRlZe
KPI6H9h2RCAWm5VaTM1qK6WPEdJ+XHHzn70CBm6Y6fekt6T+GBo0ZNXKlBQJIDSGDDsboVdDly8n
eVxHNLQCZMSj3qzX9oJwkOxSSYNTbKHgAEJQKCBWunRse8y7INH7glxCB6FveoVbahpBJ86IEWa1
SokaMKA3unLUSP7Vi3RBFtL2tdzMhZTahOpMunzHSIMg86MVXlrbj5XEcxHxNDzQuL7zyzYSaENl
7asgUlDGqdiyELPcbHsrziAGx81Q+/5frmFECPTJIbLoRMXwhXKWWefHSjMBqyoW24V7RjOZrylm
ugkRq/F5XieD4V72sy/V5Enxq2AmQufB3xpLWjUvdeznmUMR6GUen9VrvfJ3rTkO2MKtNm6CD7Kt
GKWwzHkeVTDrmjG0l3A5TZbcjOxSnlJFf4G9oMbij8/yW12tggODz8zVU6wFx53eNxO/yRGm5e/6
LlLrUq6P5Xzj95mqCKENxixPjZgdxq9PUNBcjowi7wLYmmRCjW1nLTVZmKsyVvfAxcTBK2B7xGc4
cmMKvBEGvLFmx3LJdjQujcsuD0u24c3zoKAwCH0/KPPw2SFtUGNT7hbWh8VLNHE16wserujCSrKK
G8A4bsmru7rDscdUJRZeRPnyo/TI6r34cw5h1VeDgy2RVZMRgBSiJdInySZLO8HYekU/C0EgDtto
qqKtQNff3j2bXKc1m/+yHZfJ5Ru72aQxSjVex7zY2QBp1D546aBG8M+0LtNJ/d0ioHSaJPbMqnDG
QF0t9xKK8/pgaMxKC+l053dTQCUa67yfGsF6/UZ4Ee2eAKdit7k0U5bdUPqQerXAXY0F37xqKro7
vZyL+xeGzPDmxpze4Dg0P167MoOqp+23lDUXKtR/MGSGVF7osHWKvj5raNQ2EPo+NGcu2FZRofaj
Qf+jWz4wZxbuUpjYxnba0n+FqTH826I5AymaAcYLc4lwPf7PTs0+Zox6t4vMdarPnv2anT6/mHTM
G3Z/92yOMxNxduo6Kg53gTwevOHcTL/CVUJm18Sx4h3/Zrz3jKoPaKyt6SaJLFu7fvZyhiHdZfVe
b9ylabevLZ2FJuT60FfM6uCFsXOBPJvmKLKWeJ0DfXQbJ/T/G5fnzLbovg5uU7uBaUm71/f/wOu5
JqbUrEPDxoYWiZkF4BlfdiY3k13/qb71pSDD4HaKCTBUMRF0O9JNU1plY3+aFrtpRNhEU4dQrNb1
mBoFIT6W54CDEy8MroOq1sQAKqOC6sg4UNuKz0LCy916qnzs2MB5HRL0uiwNJeQflpJUW6B87TIa
KXGhbqyZvLO1jZWhP/Swka3Hhq3PLtNXdmyu+8V1+czdYCOCISlU5urk4GbGyrddnqNBhrZMnS92
JXH73aPqdnN/jxcqWEND+4Bl0paSyt6j/dCYe2HaVMGTTu1GSwwombUs86CJTGeRNhHSFSJusfUt
ElhntQ7Yg5LpcahMztnaCfm5OjdKXUJ3S9mcdGpBLAuTPZpwQUFpMi1+zwChGVI7Jz7EM9+0o1XH
tQd3dWt8eoWtgmdQt8x8mDKqZ5mRpAbx/SUeyqwouXAVQdSEN8g3qoCHje7R73CZSvfPISomnunO
9wl3x3rnmHAcziHCjGyLfdOoWqpqXFWyJD4cXh8qXuX0xu9Bk0vuhzhGIIaB8FmBGwRuE82Mra93
NsPPGq4MoOonuMch0YVd6s8OJoyacSTQVSEWjg/FpQoMK1IRQE0sMr/eLyk68N/FoDGwLDOZ+gYD
BuBMn79GYm1xRQ+GBlAafKhK+MS67B2cGXKjWpTsVMM8Md2kOnXALcyCyP5SIN/JMXdSj5EN0zAe
OP4N/b3XRkQl7qysUoEJiLpcRENVnI9Tcr2iQ438r2NO4zQ/IFGLy+lEUI6O9yuGY9yVsTYKfOq6
YUyTk0avVFGh95nKMprMRR3kPZTlzpcSvM6YN+mEsLUPIflQpcRYUrFdjnVD6/qgN7Ecveu1T8w6
PXci3EG6w7IK9R5YMFG41ZHe5XhfSKFeEay/FOBFHhy/EI2IUR4zo+BonLaGmmBWhMW3uW9NF+uJ
EHdJtbvikhKzaQ71RKG6sayGKpBGsKo3e0fNR6i9GZW1zghkv6PVrfiBf69+m6oECc9U0GhRJE6+
F+IAmK18lxyXHFXMW436ts+vR97bDHUxTDUPtZO4k5a4kVlj/A35UpxCmcH9AZJx2TIXik26UBOQ
s9kJNXeLyvSrC7LJ47Enc096dH35ADxawmLC6yrdDNpYcq1qRcZ9rz+lBWYSJk0GcbPmyBe7fto9
jh1WuCXs5qHpWVyWSWB2NBl9XuFeYjLPSpKDGNmssTmxQdtVD0QKn/KSgyfPGf3ySvTQZHJ+chCo
kZIxm3RXH8fEmBmU6LnykbE+UmvI2uu423Sm27FsVegc65W3VpC4d3Mc65y+qri1+CnmzEJ3RcOK
6IeFS8N6TeNIh26UNAnHEewZcFc9eA5Km3tnLSyszrWJEOVrMpzVoRuqnKrCutlQh3xUI6qQj5ua
+RHJKOap9SWALl5XnkYjPe1Gu6JGwWSJvAiKENaA1Wg58560bkOEsjo/MJ0cGEJ8UBetaqlsWJOd
Q+PaSKC2KHSZ+gcDLyWOKthILz+eX71qxNIZyymt9LFGw8YeP/uwH7HAYmJgpsXXpFX41FOF2TdV
V7qYyRRnQFZ14rbJlmIgJ5wueMUJWI2bC8fJBcXrMmWkgCfVPNw4s7tigDXgdnXwIA/BVxtcTRDh
YM2okN2dQ6OPj/FF37FWZW2lKlGzMlnFN9PzqXHOafsmJ2020iO/oOAfHLToE6vzFvmeOgU+HyyK
aFVfusaYeYG80UInbILeWznxCmSUTHQOSTqzf0qqikeKHEF9ddrw7ITbORmivt9qcyVwVG4AR/jF
dWFG4dyuFqyex4hQYcbYO31yTpArnYHEIhLEqmd1Ql+eVw6f7jJjWBq5mpXvo0ZvYEYemCCkI9iH
tnEMsHqQ+lHuFtP3OerVOXNMNPhPIQ47bYHnORmyPNL3L3mMqgFTIauzcUUUGPpQOL2EOxd85TyS
IvrvNpbSrPDPU6PwNIXs/tNLKeqf6UP5g9RrHScBEQXTrCPoxHdMTNT6VDvCGikKWaxZu96/1hMa
+Hf82AA6dg3LJsuKqItXXSl8gWBIQTr5PlvlwEEGqaDJTLR7kfAa0olVNtYrGv38caiETat6QH7n
FZumNzl3g0KozobPkVetPc8r85/eR4WyW5VIri3ZE1ynnfjp/a//6qlYwMLw9gxoyYZhHkfczF1U
9jFKw0fclAin2rJBqWMhmytHqPcv9WrOWQDDKIRg8YKresd4N2VUSjqR0zz6iYfY4xAtaJIfSJxT
r4gTxdOHU+64hWLwYODWQginm0Bc1hHC3rXS8mLw+0dCJtQaBTUHFHFIWdlvY9NXe1bkk9RCMbHw
86+CDMDuitWutE/ev/fjYaZramO5q7qqvG6vsqmmqp8xFYmtb2ASnJuXBK/4H17lquP8+1c6HmXT
tnTuFl4xVwMcO0LNcwpD0rEy49uAE2l+0TeFOpojt7HY5BNTVY3vX/Ali5mmCdxsYGeavOjHFJX+
5XvdZ97KYrJ0cJ7oEyVbPNzUMseiqML0oq4l/wGpdLwk/sbN7YSd8f0v8CRX/PsbSKmlYgMJeHDJ
ILWt45VFxKhuGrf61iYkVVRbellrvgX1SPwMUw1VtoxdokpjRwi1fv8BxTW7V5BX6RCnkJxMz4Pz
J28S6H/hLa7JTeK0sD4nMhEIUHv4I8Bd9KYgNXI8ZZW2XG2W4zLUYx0mkc6Lj3CcHnoW9u4AeGTA
IppSyjcgui1iKiggJzjhtzBJa1wvuQxSNVV2aahOOcUoug7PjFgPahsMydUW3zRdw6NznwF6SWnP
qolvpiqa8MZ6qvhMQxXLUYaoG9RGEnMAPBZnHcikOZKSBchS5cCy7w//qwmnXEp1lEiQ863XU3vg
ZJFo+rp8rZPWomaNCa3iwOGvvaoA/kDW719SvbcvHjhLLVYr9GjglSMPP5rjNMoW5Z8zffVjR2GM
Q+o7+YWNujbXLnX5FJslCn/gEDUbZBoAwiIH5Nu8/zWO7xyKo9BZOUkv5A/vWJRQOW018SyTr3kN
/Hmall1ffjLzCachU/Yf+KgfryDKPxttpSccVCkIXY4mOYLeOIWGJr+NKkngwc5cNS2yrFGV1fv3
dRQsrz4d4jn2lWS0si8gl375SsdQdIqiGs1Plex16NeD4ZAfFwOjctJN4eRRHtHwLvk/F8CGeTnb
lv/AYc3uvKAB1gWC4cij+vcNXpnUocYqVKGexpxQyArmrUhg3itYa9YUDOD1Ts1LOHqOgonzku7I
/agZFjenIdCGvxlrqlNkjKVarzkQ5HN7gqdEuhS7qtZj8Uwh+jH/3/hX/Qaf4mi8GQMs29GZmnQg
IeAfj4ENFcrHqWr+NJREICGArGlV5PBFa3C698fbOprP6pmyeDkQLlAIsY4ezeephkfeGCK690T9
dK3BBjrNx1aV+gNLPUvQc++9gKTDKFRzpVDSPz8hI1UIAc4TDK4tXIVnchZUOYQmVCwQBS3HWn89
l7yq+AAi28un/YKIn3eHlGSOxyk28RxL/jT+6BapJpJWZCbvzorqj78b61I98NXOuIr21B2Hjagu
jC5SYbyasiug/fgc4+OOLPx12HepApb/tNB4I5m7GT0P9r0oAuWwgsUoJyCQ94fUe/n4lLKJTr6O
Bz4JBzi3Hz++ljsYPZ1Id2ym3C84+9vYr9AePTi51wgw/gRHKTH7mFIRoBE2IqoOpZkXDyO5Sagt
MV+iaRpbmJAtiIadpG8/RZxf5XUxyzHZJN5oHlI/uykrV/8xNkI2AXFSybKhl+NcjXZUnyV6Ki/Y
kZKV03oy5qEmM+vzSh95PEWxm6FeLXxdhKCG+YO2aj2Hg2KG4Ajz7lqwK+U7UWjWhbt0Iw5oS7ul
J148JPTwT4vCpEuQNT3RbXU+0cLrjeIbrAn7bMGtJ8WPq9VhaTede2+yPz82SW3YyHidBAgjlnKP
yVd1P7nW8JBaFhYRnq6JCpsJu/mKFEr+LLSmu3OElJRF0XBA+YzdM02KZoOO2ZlhO/upFgyiHE8J
59nC1h8BbJIs+zx4DloGLxrysJ+6+n7FBiik/FSWWJomNrqj34h+0b+TxiC/Ge4qPiWDPWwS8irP
cheqJPYv6dn7M+LlYs2EoK3MYoaoj54+hcLRmlYD/7itHVc/eV4zJrgENW6dAjU0j013Pr1/sZcv
9PPFXIhyapunhjuuSKJVUNp1fvXT0d0SjtCs3xtVY0JsLfOLUVgD57+4Lm9oESIBfP/ar2b+023C
1aFlwyJ+TJsYbOnXuejKn22lOK1W0ZDGXlqYHX6wTTx90v9sw093KUwT4oFS/ryOfId6nZuIjhN8
lmveGctkuwhqDjxpOCeFe1uZZXSbykhrCAGz/Sa0SO0r9rhNOOGMmCILIOs5V53T+acV1qqf2G8l
ddJQ9A9lSfECIbtsArM3xI0+ZtXvcrC88wp49mY0F/Ozn3FODYi31xvikOIrq0SQGGhu6YDe5PTi
jMkHWOv85WdWxz3GA0O3M2Jbf8TUxULO4lsf1EJH+RsMiSoDKIMYF2LNzeOSwNBcOQtvWX+KQQ0+
tmzJ3qqz4jCv8yPuXNgHEbUaDmZMelDbac4BMab9YeyImswvnoyryJqKD4IZA9v40YZi5FFJ+yDB
nW4gHhI4rctx5bFdP5R0SQi5gyl9cMt+xkQROQfxm3V5qMGtLpAhYWCGdYx2tRqxOGCNBnDWRf63
Els9rMJy7SJdKvd8waULSrt1DwZaXBHEiF+vQ2Ns2azE1V4gm5PRxm1895aycax3WDr9XpwsvbTc
Jt3nIMWHNK6bq9Luiz6sIzl8X4pk+KTbZn6jVcpA3pmNaWeZPYYGVpfG91PhJ9kGAQ43kMxEFow9
2mz6121G3CV74p1AhnqeJov4bKjMIrJTsXj6YNqrsTseW0SzHPcdTrPusWpzABLmubv4r6fCvsSt
LHuAH70sYd5W+qUxcZb44IpH6mFmFW4JinULH4mIDuhqL+sxzHCLrmTr/JU1mTgFNtNK7LcX7Qyg
MtvRiOhZ6e24+9lYevGQxnN/nkI/v8FR39q9v7o8ZY+8vH3lHePBWTNdmLjHZMBuKm0ysKvqVzzT
YODcXkff6m7FKJXUMBu3fDMH4ShrHPaRjyRLmCWOfUigw4bgJL6Pp4NWJmFXO+4XzPpHBf0CoVea
TC5yJ5WH1rLmS2dI4pPYdmMR1Ahop0Auhok3WqOXuDkYKEZJ5bObvcaw7FRo9gUC7JFfmFwNPVay
XC/zxHaW4RK/iyd2701tpPl5SZuXitIqsb8o2gIj+XHK6OGSQvtA+OqypRaRd705VydJWaAj61yy
6piJtIs2DqjfteWnFS1XGHUzcbP0lXqnKOINfn3NxdT4UpJW0Tjwaj08Jk8gp2AIRQqj+Zlkg/QL
/pP9b5Ga+KrKMcMT5P2n83r9Yab4kOagrjk8n2NczzLJrCUvOP+FEl13ETH42XdYHgtyCR4ZZyr3
5yoHZburfV/GDE/ExRmb8qOv8ZKp/TRhyQCjbEZC7wuwgZcTFqaULOXqFr+i0lmG8OmBIJBNivO0
wMpTX1F9EKM37BYHaVeD4PFrgn1KwzxZjfsPxuSNF9YTJNvDtjThWh4zdtdymMYax6xfsas7d61j
yFuz0LRQ6cTP2BeHy6Fo+9NGVOVJMVvGRV+5bGRu0c/XSncOIbkiITLFjv83zPnWDrw2ze8++Jav
SgakvtDnecXhTHOoPBqyscQoz2/F8AvUu40/UVnYcgOSiBez1FHqOwR/B5NcifnwOrv+naxEHgRr
ZDbT3nJr+WD7RXyuu1P+yUTVSoeEXWCHh07BcMcZOuCWaN/nB/2/Oov7pfn1//7Pf/Zx0nXrb8/3
lWMFOovvj+WR0EL9J3+EFh5eTSSjYddk0DABRWDO/rGr8Lx/CeK7QC6VMQN/MhH+KC0sGx8nl10a
6B5FO+lo/1ZaWPq/TFOBIjZxUbZi+/4Tu4qXJSQ8UvBS6NDAwSbo8CtHssxoTCEtoR18yvUM8HBZ
DwOc+g/ezJcl+fNlqI5xF1YY/St4djVkt6AQ0w4Ejxk0hUusKAfduyonGHYfLEkvF4Gna4HSWHhv
QPF2noyz/k625llk0h+t6LAYtX+lO914AfHeOhUrpwHUcB9u2tAQXxQK6pLA3bzUFGIeSLSuFsm/
8btp8NgtgZPRIYX9goCxrfvzuqNTSuhKWdsYaUz+A5Rty9zpA3agWP0W2bJ38AKv9hxVBtyORjEF
w1xhrJjRMoWAx8lu8Tv9e0WAFhEE0sdSKPb309qle9ZaE27aXJ1iVlneFDmdsELr+k9G71Sn/tjB
q0KMdRktfXop4oy604qrBPYqVpJpLAl072V5Y5Ln+YugHrQVnCMe3Ca+0Icl3U5ugdKVEIjDaiIp
ERw/vE2SWcONKYfy92qt9RX9u+yTqadZUKGg3dltUmHyWY60nKvpoNcRXOmVtrQ36iSZwdbbGgmu
5AjH5Zlr9PUl/Cssg2inPOpFrB0KR9nMd9p0aKHlxwEn9sjBVtCsf0ivLM+dVdHP6jUZAnSmqKw7
T+zozXVf01zzp5yDSOfScnGXCTj0qw9Mv8jzpGqyncsRrdpMEfN8oyc1Hvi6VVbfUcM0XxH0eJ8z
Pzdv/Vj3k82kS/9n5hH/HhATi4S5NBcURFhNz7sOnIGEGArW73lSePaGxJTiSi+wJN+Q8oRWjoj5
s4Wd/4GDQbFRhlMhZvXMvQxWZCCQCF2llnGbzKm+iWYEoglpqFtJG/9r6dZwyma933kjJjHBXDvl
z64sk31SJT+WLmvCmKjJs9j3BqyJV5gvW8ngJFVUXGCqtH5GPKLdWAiQz/UVdnMgZyNn+x91Lcyh
femBVmt3wkntkwizGBwQK/gGC6WSnsXDT9Qd/ffcWLJiu8arU221PvVPGQIJ0u38aPuCzu0EYwKB
TjC7GFhZ84SDqoAJ088A1PEnX+IL2kZNsdcaDydKvP43cp4qQpSFviEu3oE+0p9lGkqlYO5j4v10
L3skSRAiq+Z+g8iA60btLCSmOO1tNBXmuYO62J6RNcPNcwVTm7dnhm9wYeWCiCxj/DWXLuTRTusv
crNav/czMRk8Wft7M+f5FZpt4gPXvr9t7R6+ae/dEhWbbgd7/aINnXVprom5NZdVXmo4aWwn35nu
sJkbNjhNjLulFDfVVH52ragGBSJjYBRBT+7D8qNy4MIGEb4X2B+AUWYF3MTGzIIVg+gwj8vc3iJP
XfLNUrTOeu5BW51PgIEgPG4S4jf0INIwyHzI5US8NPrmQU4xA1G34bDQJrgXXebFfREQcOuN0727
0Jz3DenGoY0VPcEcERqgwMamIPB7r6r207hSa8+aiL0d2ZMmDvzeJPUwLYC2dhIuQCsI9+7JXs6n
Nb4dc5vftJp0jC+dlmCSoCbCbLqOcfD3LBzXWpmc+ZE2EvpD7LL91WzgApNPWEUaDcRu9s2HbJg0
e9fOrJE/XSAtOkA9yfGn+dLEQ3cHvksowN7wZf5Vs5v8zh9LOGC6OjvVpWsfRqi7D260aCrt1oyW
ADaGdWrPYw0RcR05EdowIfY23gKnRLu158Y82wfcPSh653zBPbhcfeMeol+cBbJV/9qNnOgOut/0
wzErfIIqEJkdWR7WSV2QhAaShQ18PhTipJF6dYrJq7/tywGTP2i+VOq0fOqzVggk3y4soZ3hSNgo
XYr/fOP3m0rq3hyQ0IUZWsRxmQSYEj24Vt2tUo/IVai0AVPlcSpvZks0vwTYzTlfJMWIjmDhs2bx
yzUkO7yghQaL+QR9vH9V2KnziBKM72cRqYDBiFveQGJVxlGcgKoN/VT+ztb68jey4OLB0qlaizxz
VognZX0Xlwk4hESwabB4QNThvS3Cp9rmf6vAj6pA8ETzvTJwh5tQ+vNlGfj83/xVB+r/4iNQErLN
Q4t6ckj6qw50/8XO7yhsTaHYlkt58VcdaFAH4gvqW3yYDgBH/fZHcYvXma3OXVh6gvqYjm//kzrw
5ZmECsahyw8wC4TOP3I0eVnBqD7Q6jX1cDBJBuo3Re5jTkKWnn8uBhLkA0JfqnPmVFqFPnD787T6
jx2Yo/rJ1iEJ0FhmfFSL71V5SObGSoTi3O+nwRyJFyidrZGaRbgQUHn422N5o9nz5qWgJlBeC9X3
Ojp8dRacIAMkai8M6qjCNKbAkkmzhWDS/hd3xVD6kCGIXoMy8nJMV4PY50WInhDKOd3PcBjDrifI
rZ/d4YMmyEv6g/00gJwo0UrDTkHCeXRXeLkNOQKLfu+nEWDZYuJ5MTi/IXWFMRKGDW0lwnZZ2zbY
c9X/CIb+6+KcItQsxsDm6D77OUGd0PQ9BsbCUZsVFDJDtP8sKZdbRLzDkRlSkQM2dgx0SjYkObbR
sO98AeginiBoe27dcZs1JXZQ78+Tl1wHdVM2hCLALwsKE4aCvHh/L+nxRzWtxOiHfbw46B3y7pdr
mb89oPzAKMozlCbNB+cW9Yn/A7c9X5EmgglvyqAZexwFjNw4gxVM5GMGmZXi3oc3pPv19v37Ojod
Pd0XbRFUzS5yfWCIl/clhohEwTYf9ha6mMDStPNYmXgaJrGaeml/cE9vjeLfr3Y0NTgOk6loFwOn
AAqDiDIiHkv8vrIcU0Qcb4Muz7+/f4PmS0TqeRwhhzg2misau8dL2ZLkjjdNvHZG4ogrUYviAT4m
QFi9egdyXPNwaG9dDFM3bSHkT4e+92ljW4ch7ur9iIpjO8zmFHST2/yYZ3jciyP8wKSFeaciV5EM
xxsjb9cPFqYjLerT91acIeA8RV94NeM8GTsIx3iN0mkQeSDU3h9Q64xbgjt1XHEJyGxQ6IUWo7c1
i1l808nruCZWpLnEZ9lCghT7V7Dk4g/eBfuNqcmxnZMtb7jN/45ehswv8OWyix6vt4SQCOiDmCSS
sOU5PeSbWH6aUwsJxeQQK0jTvDol0LijB13SCS1hbQYjyVGYXJJ0RJhBYOG2FEZwBANYm8tZPJgd
qNeqnaywbsJ27PsQnlpDTdX5DwNWSw89aWPI4NJ20wnN3dGGo3kEW2aLfe9pn3doErRi2PSR7Qdz
YZ8lIv80TJ68zMVC3xmS0K6zBvJAtP6q9t310KY4KC+CSAVcI6JznYyez1rXjvusyjVCbpff+WLd
9tjlEw0S54eetvAVn1zt3p+tr18QjyevID6l/39FlZxlbA/2pB66TC61nG5h6uknRjrfD2vUbIeB
8Nz/4opQA8CObFetNy8XAL+bR/LB8n7fRdGJgQk8NsY//EqcdxauZPjtfHn/eq83XNVtQpkJ1ulT
+hx1Y1EQjwjphn6PjIMOHzDHSUzcC9Stbgnfv9TraerZQGkmNB04YrQQX95aPNjg3MjE97432me1
1hon9TS4Hwzgm1fBooQyRfk2HLNbS4S2ZT8xgBrt5I5wNF874ArmXb9/M0etILUecDceqCHVIqYs
xzSgHIcxA/MwuZ9now4xnMt2zlziiCqrGicd6VJSMPHhBuIe6H3GwGlfizz9aFkCujzalrDYRbKg
JPqQvo77DG1bE945uqRHz4W7nXDP22Gh1u/E1KfexhKrODEqIgw7vf5V1JN7m/fZtKf1Ol6U68pJ
Lq8/akebb34nTD1BVsE/4XwePWgBmz5KLLknaaU6ocG49fUBu6yqby8j2cAvcIfma4GH2KZAaX01
qNgKejpm6HtVjZNc8asw5vEy9+ZwXadvQ0b8QZv2zd1SDWnQ9Kl9oKk6nVZLcanp/UfFxds38IRS
UtLz/h8BhqT2+uXC0XwvkuU2Bq3YwU6PPyWsYpumdbMwAhPalAjX2LG68hSSzqOXuveyc/yToYki
ROPduMW4zL+pkQlBJ1p/rfi/n1pe4u8w+lrCKc809oq+2OHo13ywJRy1n55nJwcWcNbnOzhaRqae
2DBYtXK/aFl8Gq1+ddrbM204De1u2rHID4RLZpl+YtXLuJEN4VTvvyDWm7MAhByqEd1voN6Xs8BD
q4L2bJAqvLEnlg5E7jtl1bUrZEWgrP6zLsb5s2sayQ9EBP0wxhtCoJMwJz8nGGO5M3XO9UhiXJWm
O5Xovgc0UFxwP+NnThx3bPxaKsNgqXTvXCvf2sivQkfzP5O11h2M0dbPNczxD2tdP7qjfucsXCgm
o3TT4HxvfzDmr0s3wr6AmLFFsh3EoUdDjrGIS74cC0KbFZ+raO+OWRFqK+mSNerfD+rEN5ZtOmgc
DJ/MUmipvRxcSYh71bHo7Ju4+u3jGMyuPWagsutH5ijqk17WvdyWqfyeBcbP+nFhD6g9kIllM5O6
+J5Qy/hzVqz0lLHQIOV3yfFN0x3NO0WA+FG7/Y3d19EBr6FPszFReL+8yR7jJiI5dYnWbvmKXfH1
7La3uoh+F27/nSOvE74/ZZ9qz1f3ClsItQIHbixaXl6QgEE5p3gL7DmGV7eDRd2zRFa4VAneU2RW
Y9N3X6fFHMZLQ3GDFH0zyrgLdaqV97/Km5PJdgQ7y5Nh19G2nA79aBP+K/eTV/ch2lUnEPisBlpa
x4grPzIWemPTdDAa5TEbnL1f8Xgd3G/iEjXeflm6eR83RrRZBy/54Iz45vgi0BDMJIYXeuvL8c2k
EdeGaOSeM3K38TDuCMcqg4kQedrJBL96E2MLCfWtLbZTFJNQMhrFdh61s5WYtA/e19eHcjjLnAo5
lMPEfEVWnxYw5kTmfJmx17cYNOOL161kVKM1itGKbBpZVvvE7c2gzgf9gxf4uCml6gfWRWhneCs5
kFyP5hogNfaUld7tF0Mk33Eyo6kwdXF/JVPDLoPJqUlqJzEYwFRbfLpNo9MWdqhnDbA2+S5JvsH3
aroYE4tIVBMxvrGxY1v+fH8ivrHQeD6tTM6jmJVDNHn5yBLNg2oMwXqPAVa3GwQ+kgCvALJ4knww
JG9cCmINtAmM0fH6P8Z+0syQTYux5r5fo/K3wFXjZq2SkmhaR/8vbkvpFOj3Kkjt1arWVM3aN55o
97aZdjcE1Tu7enGjM9TKoIj/9vV7A9F6YxHjSsAilIjQh46RChOntKweuFJq6XEY9VVzR6AMPQ1d
YoMwlyKAarx8sHy8OZScr2lrOwYE6qOnhsKx6nHyaPd4oo6bkg4NvePSDDsd6uP790c4FlPgaNWk
0tB9CJauZ7FivZwiHkmxQ4yIce8I1LE7zIx6TOwTMa0hhq8V1KROmiFEQHpUrTVO2o6T4zBv19m1
ypvSs3m5UguM8SSSS/FgNiPWIiTbeoi+C6KPAwzDk8cad46LnBab3KEyUc2EygBwr7gla+M6NU7R
/mhPxm6ydAuLJ9WVoN/rrsifO0J84zwx7p3BxDG5ELSodplRzs7WIm/W/OKT3YzFUQZYEgcEPDvJ
Gf1KK1IBgV3ySRa1sZwU0AbtPcbDpdhqemOclus8a3s55KO8tMtq8C5EPyzRjSMxDN7xszbh6trJ
fKan4edVWOWjiC88t7LdcCBjGnmX3RZ3I9nt0WlXafXB6KCBB0vcmaQuJ+lDSSwnAaoD/k8nbowk
c+MNdZ3vUN4u8bZs8N8+z0aOkyki7mYiCEhOPs3W0V5msibxsj4rNXT+4A5lY4ZNaaviKiU36tHF
MnWhGdPPmxW6e3fX2NgHE0sks+V6itzxjqj2rkcb28Id1OvSIyqcFJ0BLlUy71pv9tOdIByxCUQT
r+tGyszfVx1b1LaIFANV10wfkyRpe5+I+0ObUJS1tZGk2hsQphv7UHrDDTjvbhjt5jPB2sWXQvP0
275ycJYn4umgqX6n1fpXA8ypqpW7OXGr2wgvwVEk2D/j57w3RT6FuZ+Xu3gYTy1cQDZmIx+z3BGB
PZhE5GSzBe/W+iksbdqO2NryHTp378hJ3/oidfbCX+uAihkZR+XHZ1I083e3x4dVDAsNdHd8XFu4
c6M1Iy+al8BOiwdiTraO5rTXtl92W4OO2XVuTetm0FPjzCuL5MKaeB6cFmjOpdHDvFr2HhuzmxT1
CPnbc3QS+SLfzFk+UFRId1OwS4RSuusNqYMnbS9Qi2HSxR/5VQ66BI+uO83n2QxXPW+3MwLbICO8
m+SSvDybrER5VHnXkSduMUqeId16yQ7flHWzaP0QRjB196gY9dsoLppvONHo51XieiESHmjAet/9
drSWRlZPpIIHYL1369o+QcWLrhkyw4mlp+aJXFxvC0hxapItQlqdQXrT8qXUhxY7sOjg2uIuHZYv
2GJXSBh9gLoh+lLSsMSpMy+9k3Fwq92otdh+29p97nvRqcQxJ3Ti2tvqmdB4Du0a4EBA4Cvnhtu0
08brFnO7W+Kq2RcteU5MuBsUM07ei1b9ku3UHBBNpAe4brjel974W0jSUJeUBmUe5mParwu8h7Yi
/CWg0uzw265Tv4fp4iEJMJk8n0voN/P/Z+9MliM3si79Kv0CkGEezNp6AcRMBoMzmbmBkZlJzIAD
jtGf/v+QUnUrqWrJal8bWQ1iAIEAHNfvPec7G69lH8HLlEWCofv0RXDtb1qUpLRHYmArhXFEIbLA
QO8hNRjKv+I/NNuZB2KLj32VNPi/CxyYAK9yh8WMbcQPahVCYKLZMctHG6HBjBZ7bxVPYKcuxMEq
SnPYVH7njeHSkJRzrWkuivgCqg76yGV0tBPtWV3SpG1BfndcqRDzfIknpBofAXfOtyYmkce4qovs
OOWkgTmw9lHBmv4OHshEfmdLMy6FsPTu6jH1JP1dsfWUXl4JXrLfwAIl7rYEpxTlk5NZ1/Ms3Qd7
LOKPgOY+GpgacU4oAGBt1OLPT8yZqo9OdC7SxUoaX4GfI6cgt/3CTF98YbI/bYCPL/ueiuXRX+z8
yyj5nEUrIYf3ZntSDfvpDH/2EUWVfKELxxgkl6naEVfBnZBaQfuakqnwrRV2sYM+0756LSnFeRf3
5RHDebHLFl2+gJQlWctrpmnjxk4F8UtJHo7S1Bzw03axSVzXiXIKriMUkWLj0ULesisNul3Bvqk6
kHvPv99nyfgMXmjF3juZ4YdBMsVZ1OjEakcVo8GjAIi13oPadEqCPAXyk5boYruB4AYup/YMLJ2v
6K2pPlcgTzhVtxifR3MepnMSx8kl81t8ImCzzk3v+9d2avOpjPj3tp65D2NvOiqkEmlPrkjTSz5J
8ZXWnbmlceZcko5HdVs3ldopnEY7gHYkuKICTS5lKUYvEk7qXHiIWh4qfl2a8O2pAMJ6wRwg3jsY
keR6d8ajzLjeGU5HwsfrZe+nXFRkHwvZwGZ7J5xOvDvrDhM0oRKoJXAM77my2cGZKz5WIxTH6Oz2
JGAqXqtRivd+Ed0rYnBzqzyv/YbLo1sJvGQ2h4C+41NCN4KIi15+DybpXGzQIXANmyC5zBnSYOpd
Ety+kxtgM7wX5gR/JbQmI16uDV7LYoN+Nom01G9bAnlTMgT9YYAi1pJo+yiMBeGO08RPwk2RSjhD
89VNXEwvZGGnIXHtsREiDpLfncEyt0nvtwiz9HiTENJw1VV8eUxM85Ov5ayLSZwdLMFfC11LLkOA
OASEpEMFXus+EwurLY8duv447NE1kXVUTPEprXr+hXgM/DBJJnT0uRLNECqec9pYtXxZFprWgJPl
d6TUThTHS3k0un69ywcCzZi5mM5Dhjnp2W76wSPFlZMsHb249/tOvFmItx80yBwlkURTelncqibl
z66717JV863vyuFZR1Jzn60/t9nF/rWTG/F9a48cqNCWHYxgWOAUGenFxiv/6OeIs/VEWz501WR7
bYbSj7zfj++JFbCPrZ7W16418YmNKu4p2ecnPFLyu5qITzghc5PpFgH58uGhJCEzfSBOLqTfImEY
gx2rI1drEGihrao08p7c+B7vN3e3GGS7HKtxxACXDtxJSms7ll7X5k5jzUovqCYaI6oM1dxqVk4T
d4RvRCtV+ul4dK3Gr6NA9h8NxAICp3QsV201tR9akxvPdgL2fJyk8cMdc6hLPHrtHauF+mjMXHQR
khMkP13uDD/AriuMWLDmD5oQXBaXN7nc61NhdOFqNX1UyJPvg15nNfNcpEzCb+8gN9H4b01x04+L
+DLncXtn9H5yid022/cAZAlP8YkzkemKbUcQfawhD760QCb0u07zJWt8U2Bsh07IxcNmcGZPHO8E
BGsWMdTk9E17a2AgbPlflfT7m7gSyX4sy/FgA9c5trw2r63OLhDfeEl2i1lnhRTZ8qkTI0kKKv3o
cXTshBRCbOJRWO8O3OmdLciFEDZ5F6Y114gaLXdvcL1CJpoge3AIgtewquUeAs98SxFCaDn5lc9m
mdhRqTUPpM2fR3IbmUXqGXuZrttMxNbctPR/SGYeT3klOg5buBd9IvchhZi/dy3FeF3PtDM0OnHB
ZRM/uLHZHIM5GxIW3UpBDWXY2KLgPDpZfxqXpYQuNYxnPZm66zrx6lOS1ktIqU8JuLoQaKG+BUCm
jqDS5vuiGa3vYA5PbaYbLGkkoClLttvaNSAd9vbVPOf2C/U2ad363LwH0zpnaoi9pLN8bOPGY1qW
UpCOmNJffPAh93qdTjtvFge3KdtNMGkkAGRtc/An9Ub/r/pSVACgeOdwkdBpJiz07HAib1nsNMqL
Qh4LTbfCMdaIZ6tssZPkW1ylxio9IvLw1obYt7fyXD4Mreay1AXJ/SA5yODE3u1ADEJIY3oJ2ZTa
bwG26mdX9uUhy7znOderPe3SlDqQUo6Q8QUlazal5wy6JvYK8xhbynhP9Xjajb4Gbcw0UCFlyPem
kYdRwpYJp4JWYbIs7hXFhf2S2w5B5XOz43FiAW5ydqeJ2wZ7so+DjxEE2cssYMEEFSzsTVLZjyKd
c3iYgb0DCepcVbEsnw3H8+6WkV/JGcnM23nUhWHXdyS7zbP4oRg1mfClUL22ObcBxOckI728Fixr
YklDu8rBPgqS5xkghDjXTegyLgU9Itk3MkuLUzLVh75oS3RctnbdLPl8p3Q8HQTv7HgUdwQk5GvM
LXFxsTfcVLYTP0GkocywR7h6nk44pt9n977eqU1RWf6VXDJWL6yxqQOlvbA65wI3rWmidAoMhhal
Oi5Ls6qUNV47la8VPHDIeEUy5wTuWGkTklazJpjAXcjB7+Q8RszQxjNs3vx1ZZDsHYMGPK016Gyt
ErQ0hkzD+xhb7fVCM5tdnTfiREG8V5wCmDb3sNxPXe7Nh3iE7+vLYsXkNFeyJrtJ2g1aRgY8Ibyg
/pq+7wJMLT8Ysxa8BsxM2ee8dRBciSZyVNRiJFtz01I/HMfeeCUMpjsC1Xs3lPsDtG37lYq1/FpK
4r5ygJtPXkluEiykZAs1obpbXCqWEiEzQ++gV1Eyww+mHJoPo1mN2UmzmsnejJ4uvYMH2ZJ3jO02
F23CCRjWi9dcaN+gFjT9HMX1UJYsQjhg869Vldd3ZutXd25GHxlaJAsoFu/+eylNhNUyT7+3MQkD
kanxgS0qgJMDyu9hsU1/eu2oePjdMjY5BGmUvCU01zqWwueNEsziC29LemeqNMggSWhIHps4Mx+p
j9mZFlVqn5Jilt+rgkxCOUiaCHJBPF3Yq/RRqj7+CjzVQEm8Jng0Npk3sp3jr2bRsQm340wLIgE5
+TuqSTTyJkYab6sKp34oISrzIwE1bnZe0uO4s4OJjsYwp9weKfhL/Eo1qVcpslQCuhJ8W1hm+ZtA
zGUHEC8onI1dQ/sMa2vpi80oOUuSXJBLgXXG8sYmZuageWbX8ipTTs++Ua9HA320mNAxUrzyyUqD
LnS0QV36m9QOFm1PID0lQM+ElJjJuQqu81THm+V2FUUrCEF+JU3xqovKeYi/jt2IizOB6TCHxC+h
axwGjjq0FlmOEx6Ir79fTGfUEoyBjCezCIklyjTPUHMTsp9o9lbggIZqgf1F9IK49Fg26wcH/Vi9
LzPMXquyIGODWczEJxt0gS5m68yg7xyFg7rrmwdnQlHBT8i8FZV4u+o0PYd+SCf0Ir+SqBjGfbWy
4s/B2I8fo0tvNBxMCFpnVzPSx2IZzX09kIlFsLB3V3hBG0dC+PrjlAowuTNt+PhiD3zpgznqnCNV
OWed1TE/nrvMtcb8r3HAzeqgJUJ6/7jp6MtwFUcNuAaLhCm/Z+xespCTDa4XOcofGXFr5T4YgN9Q
+FZZTjhSRsxzSdYF9S4/pzrU9P9OE8BCPeQ+pKJzUlvkR1wRNFE6Zis5i0vmYK4lYxdsHUJhnThp
rI+kZuCMJ2VPQaS8pKOlkw1KCVl6tYltFG3gk5ET3t2WjX5iJg0JGtPuXZX48zVapuxZqXR6mkxS
NX72A/+rQf0HDSpKNIPe7/9tDf/FinTzY/pfpx+d/LH8Ofbljz/7Q4bqWb8R0+l6zNrQLvyuNf1D
huo5vzn8L2iPAAqheqPl+6/wXMJdmGR4KBHWKFlrbTH/oUK1/N/QWHnMYANTR7VG+/7//O9fdJ/y
03//c1wtw+NfW702qBcGFqSA0SD0bBDVv7Z6TayCLBUOBphRy6yo7iz6g0nTFVf0oZyrWUej88AQ
Ij41epYOxzGr+7tUgAjcF7mxFt7dyAY6LQLi7LATYJ5Fr26KmZFLEtvZXUC6yN4raitMgjaP1KxN
xOIaqbUxgCw/zmbtvOKZeCuNhVlRWT2iOXQe+qJRd2Q4PDYiyTFZiwK3qrvuGWAbyhBVqTozwWd/
4+e+cS/hjoa96PXXoDBIY9S0zLyv66k4yW7st3Q66aYK/nByPW1rO958U/Hq3hiaYdzHytSId9SC
D3o6LJig/igBx0p1xwTkaccMtmC/Nhr9Vk0yiNSqq/p5oYDOwSn30nd+fyAhZNsjoTfG7ugUnfL3
DCUDei/VgM6KDDx4EPyhdGAHbcyapI+QpLAqeBlzEKtRXfr6q0fi2tkVZIgz01QHXsnq0E+yO47a
wNENdHaklbP1k1kfRFPWsKlYmx4OVpfMLEImbuqAiWGoNqZItC/DYDkPfk9yYOgOlnHd+TLQ9xMj
9Gfez3QKaf4arwQRs84Vs86nlVU6X3xRah+sJkE0W21MivmcftdKOd8IBDT7n+cn17PizqbhnPPP
o1n2/Bh1pUZa91497fQOzMdAezlqfKF2GRyfrSQ+Aa7kiO/B6zPzOoE1w55x6AHcX7vo3CB4l0ah
DlTGnbVLHa/I9hY9vibMYxIB2equITfNcexshnh9Pg47Wjzmq9BQge8Msfj6nlsFS11fcS/4ojiB
zZSkEppQ3aVkwgVEzHmg31I+d5pVPqSiW15bkdLmq63gMVejv0stk0k0FFA4rc6QXMWtnb7ki7AQ
OUDp0QQ/Nvj5wg0hcTIwXvUWOc3PraNMWe8ddKCkmLc9bp2gd8M5F+qLqie6MjamMvAi1sfEPhye
FHajJjQsxdg0MfOsgFGu9+kNUbp8VgBOHbi0a05mBGSPXzgcu8bLt31SyHvyQpYzMNQispoi26he
j88V/bw5GpPJ38OrMnYdcXDPICSLfeXPWgNMNEUwOLNB8/eFocuHvrFfgQQM1wCAX2p/XvKI/L0J
+smgNLUdi/JcJbGCm2W47i4jJCLCTg81Vi/YwNGXNsNs8LsLGaLNLWk11Z3ULHc3LUt162S2cRqS
OggNs2WyQTvgQIB0v0WXoE6p3VIgFrSFoql0rKfZcPXQQaNDZdK5PKjg9kOb6EkyOSHKR94UF7u6
H+ctmk06Sfg+6MxPUtsDupHnwQryywzX/6rWJue2h068HdMRL4/uSZJVE2KE8tDXAvu6DNpsWKPS
vNeRQuVM7mWy2r1y8tGbIzhtd6MEE5fatRha5EbDqGnJLbeOdP6GuUHAQ6/l3VwfECe3D21AVALd
PCPdsmG22P0UtXoi2VPfqrxNb0ZAMSeli+ZZc51lb7ZUbNjAaDiHFJ66tq0XZRCQV/b2xkxXi9hQ
O8DIWSgMiutJ34yuu1xNsWju0lnJl4DvbxGFq+b8KKoGv5irku40xKAayE0aVFhMftGHVc1UA+8e
PROVevRfPGI+yRw000fXS3TF9AZPk9lV+dXYr4y0saNQ1gETZaHlChmRIDjvUz3ByrdUb43S2y3p
ViZld+vdNMtAt5+ChvrRpMELcDhnbFeXvWD6pLrbzi+KExmiNEcnFnNc1qxK0h3iLz9XFgBM9KHn
qjiVDU8o+1kEWD+fIoHU4GEmovMZIoKP/EdnWR3NBgaBt/CG6Rq33oM47WjelqbN4zCZ94azHqhP
6TtRunEmYIoVhPJpZDQzaUF9w9t+uZFdAbqJfEt0tEOtzh0ivN9pOP8tl/6pXGKIgSLj/18unZu6
f6t/seygIlv/5l8Zebr9Gw0fF2kSBQ6jV+bSf9RKhuH+plOs6HBAYWTAgPl/xVKAZUfn/zJhMzro
RBEV/VEs2TZ1FMNyNCE0vMj2+M+s259S8tDvIqkBdIwGD9nrior7tVgSqinIJlnSiydEYFC7E2xH
aoDpRE7rFsvBawqr3kEqTRkRZpY4J7QbozJL0u8yhuUYeknF6unraTsfU9VWddhIj5yKzgy2VZ35
SAeYAF8DNO3Kl0zh6Wik0r/nVjKzjOJ5xItLAYQFTxtHa08Ptnny+t5jitfi1DzNVtZN507gJk37
YmaOY5ZLWCwg/ASup4i08x6Jl3atD4sgOpLw5MjIa2WS7tF9HdGFb00zLY/2SN5DtFBa/UDWPBCh
bCX2jtEe1k3CGpw0st00O5djMx0HIsAZNQwUKU2FSQPb3nw3ttrezAdz05jBy1TPFqF0JbLOKmnW
s1pU/jI7UkTWYInNQPZlGhi4sHNldAZb0cKIGfk0ZT7jhKJ/A4oI5XpoNmUnI+JRC2WwRNlcZV0N
xi3QD2e1/MpbKZiUXU2G53zjiixXBcT2uHtEa6SOfWdLzb7yumQutnlnhMKe3FnsO8Knyi15WNO5
ye0ys8sDFET0EfXOXYdxRjTZDC6tA5bktGmx2BaCoecVA5u6C1RkSFokM8mixZCnI9v/bjbHo0Em
SDBewWXJMwwtvN8CvzgmvuZ5YiMQAn4ZyZ67l5I+RNkG2vw9qD3gvQGimQ+m/LwZb7DcOJXx4FWx
sXP7DBRFiHLPe0UWMNiAz4Lxmp5McXLrQXChmGGkeF+H/JjZQW1tSfK5I6e82/7c5LJHnC7IMUZS
R7Kc23Iums0ieMNqpmGc/JyOBDITBlFZVuxJR7kYmZjve3ew6QzT5ttkQYfnHKBHcvL93rOpSrja
YPD9+KDXOoV2aS1YYNk07FSg5FtjivKb2beMSYNCug62dKY3vR8Dkk966JlhLQPjJMkjp8WVlHSb
0QzBbRq+prlNn0w1tnOrcQUdGjYi+Zp0tn6V5DbZurOj7UeLXofH4c6laxHkjgPsrm56Yw/pz88v
NAE8hFU+lURh6sWVaSRk/E6mHDc+s7DjOOnOTdbHuYk5urSvwbSrUx0rPVS5vhpW0zfOkVhXvTJ2
Q8kcKkUashlsFxiIJ1/TuYi/ph36X+rJcS8YdW2x+tSnwfDEE/3WGwe+8N16Z19iA1sw28B667bG
WeXeAsFK9JFvCWfnZwJ1iG0J/QNZin5pnCJ5TRhVX3WtPV031GEHWSLLWDI32ef5WOxj4F9wD8jX
NScUbwLQ10NiMz2BcWle+4X3rEz9Uls5llotdq8LNTrX5JFoBzrU04vTNmuVB8/mGiuJ+aVCXYKm
ZVFNEk6lbt27pj1sjVpaH5rnY7ftuRq7QuX9cejLb8jfgqgj9IdKaFjaICxG134Q1jSnkemNzTdA
Xcmjk9uJzmSkc977ioFUTQXOZ0BGL326xhaM9LCF2HycdLdBB9FWAPHzHOQ+YdlWnfiH2XFjJgMU
EeEAKIgWUmJwow89gd1BOjzyvgfBxfV5pDeNDiNv7n1zuSbJRIucIg4Omkf6ZehbrXfy0bEEYWCX
/vfZrdPboPSzwxg39XdS3YNNqQMRD0W1qkAImVrnCgZJVvl9X3X+cbHGGR3z4jwYWgPUx5gW8xAM
VhxNvXry9dwgsN5JGB94bXaTlyMr+6BbX5symcIqHbTNPBl2jijDdb44/hRs8OSo+wbFDRV1N72Q
jMx8wMqbswlVToajN3+jjT5uR9PqP3CPaxFbCqRPZYpBwTatV7z3FSCxLLiMBETcLrXT7Iwy6W/N
rhNrWob+4MFDLyLZdkW7I0ckgaLf6m++GLqNPQ/NPXPlpo+WKbWATQxaaJOC/jGrRD/UY+19sZBN
aBvFrbVVLDlR2i8jOFF0+pu6YeX3pw5ckz+6Z7NVCaBSzdrZiWE+JW0grvzJSU9N0Inb1gBh1bf6
yJUN0uUHIq7+ASQU7QDkwCmdTgz7YWrICkZDi6PRGM0j1q9lwHXY/qiqzNoaJCHTkTSbM9upPAJY
2l2rupnuSjb0eP6DczuaDm3HJUvjo+VqxTnVcZiy98jphI/mYy5LATXeXx70yZD4ydkM3dvB3B9G
v5+PzRxn9BgQd0Bsz/QLyKTipQqa9iXx6+62Hsr4WQCYuBrmdqak9NUTA/NltQTkKKnHZQv7o0U5
Xct0Y/NtG+ZUpt4fGTdQgybe8ARYTl/CDLX8RiNLNHIdUrOZyuq3LYwBa+v5cXOqJ83uIyiiKN7y
pSoIGEAs4De2xXXsp1d79kAQjKm7X+YKWmbexupEjp/7zeTzNXJL0C0lPahLN9eDl0U58qDbihe9
X+trrAhJnDtICu61lwnxiCoMPYqG9LoI2dBl9saf5uuhbbodFgKmwP/tJdZ91i//UBwbAealvyuO
r5shk9mn8viPv/qXo93/DaARTlIbTDF2Mpca+I/yOKBwRvKMwQwFNKLvVaf9L0e7RU0NOXHl35rw
3P5ENjL5wJVnBs4VAJ7+H5KNVmv8n1WjBt4U1h2biSCpByA6P1XHPNXT0GQG3a86prWU55pxT6Wr
zv4IKa5pYWmHjvD0d6l58aPHMP24VHV80niR0Kcz2eSXnnHd8Ajt6eGMkYlWvAJDUmiPvqjkhrWc
Bk6j0/oiJGW+GHAffuSdaVwziCmfWSv6rVhbfQkZmWdEPum6GfTGTdciRDcSvZv2faWpQ9NW7sNQ
D/M/gKQ/afy5AujgTdvhMnBNEcT/uj/IFzxCzSjEce6M+dYl5h038xBEaLnX78V5/+kW+TdK5E+i
4J/HI2eC/jCDIvQan+wU5pqmSv0njpNGLTUn5XuCliPKeI7/4Uif2sTrkdhEsVvDTYA46S/W+gFp
nGQmd2Rcw2Y9Z0BJK0zb+8SePoxmae+XNI/v/+Ovt7KGV4MuvAJa3p8uJ9LmqapleaRJuEAJWTvL
EmiDw+TNofH4nx9tTUCHV4XjHdv7r0dLAn/K6ipHW6NPZNjVHZqs2e2MCalq8Pj3x/rs5lqvJ9G2
HMQjJuSvFD/yUsq0KvTs2KZzaZFNw6x907ZVA4HOQJ200IUdusG4nmQxHhT2GLHNJH2xvz+Pv95A
MAwIDLF1lN7wDT/dsKUhvYUhUn5sBwaom1kuNJNQtT0GrqDp8vcH++s9BK/LcMyfNksQVp9GDR1O
RqvvXJpWhlJ35PnITa/xBItUFOlxkZmT4xQkmvgfjvvvviQEQER1rgugTP+0LhVJzgTVZQhXTy1v
4pFfc7KGtZOeDfl/dqwV70abAsYgiyrokc/eADsjSmhMg+yYGS3BhvMCSFDQJL9Klsl6+vvr+Wm9
/Xksx6APYWPlsDE0/HrD5mCFtE7jHlKLmgw4r151KjPmFJu/P84nW83vx1m7MqtnZE21+fU4g0uY
ttvM2THW8ftSyOZ8KXupVxYTnbo0yyAMzMx1s1B1Io+3epWk/4CM/3TvrOfAiIqFzgDljnvt070z
LiT1wJPiHLBnbYQxtmZIyFFyJv6oOjWJz7zctZZ/WM9/XsI/GSHWwzIV44tbPtsmxIC/fvUxccdG
xV52TP3YeulytzoxJV5uyEJOydUTtQx7be1oTJDBvSiemHccJ7eevxtu2XbfmORUpyKu40OiE2MQ
ZzH/ULl29/e/0L87T6YKlAYe1UGA5/LX8ywcK56Up2kH3fLcdwpnu4uAxAf8RGDe3EONDtKji03z
AaXzVJx1KM/IMQHUHwfSna6CPoiPc+ZbN4HmSjKfRjIENk0aeOP+78/1r3ctiMUVSkiYG7Dyz6eK
DIog2HLKjlWgMz4sGF8XEJ5kv/3743x66vnpfJyG6+IGToQH5NNynmloj8kkynCk030OslWTUBcw
3Al5cx7+/lifl/OfB1vHtbwdncAPPk9Rwdg70p5zlnMmp5vEj8eNXmKLLnlUiM0USSRmCnpjmL0v
WlUn+7mBiPNPJ/HTYfbr7YpDnmEynVN+aFqUv94GJTkmJk8Gov1h6pajV5ospn0wW+KI51PdMZvR
350UuR+eyJ+6hxQNLu0eoiXcSneuJB62U8DU7rYfA3MA75UzMiAyBeipWVTqzO4TaSwuznuS0+KP
cR5K0HulOquSIJYwaDv3wWtRdZm4gK7GTmfBlRX9eWco3Ac3FfqhB9sJJtAGXquLTHvUvEndLUm8
Dh+xZV6qTu/fynjR3+HZxWepiYX4w7mOPxhTOuIE3Qx9YT2K+KCkYctd7iG4DS2vW2sE+OxQLlrT
fkuD2PhWD5X1NNFpaOFO/FTKzbH9UY69PW1gdFvEJ6CaPScWTzYBUsnG6MbsfUhZvNkvOx9E+vmA
HyvKRggxOruoKQuSYaeDOtlPtk4xRHqb/O57g7klMND7QpIizobGyLnfePoTVO5NwOEFAax3vilZ
O3U5eF+UHTubmQjms7f+LQGTnMbi0EJqs0lOoQdD7jForOXMe6Z8bgE6Xn5e3tidmKHVqX4nrDYt
Tg0w4PQYGwkUNxP5+rlIgmrY0mnLcQP8XK0GcpG6XrFC+UjKvtZNwR3Z6DMTl7I0mJZmgmu3OH7G
0EfX00d7zuyXoSM+MDJxnt1ahelhNbf5nCnNUOH0ItnI1sveOxwhJP513ZLsAxWUGD0cXgp5YllP
fj12JtYIrm0FQOS9pPu9M7rGfsvXiE1G4RKRV4xc9M6ZtLmnyYRKVR/b+ZIt9phuECxkX6EaszSt
4yBaYzbmofU+rKYmPvlDPiXRkqL+26jZoIAxqkbtSM3jXvo5Sk8mdMZIEjK5hL0c1V3laEQBqoo6
Z0ilIJyeL0B2QD4x2pTcYFsdONVbOtEDaYAAitAp7Pm2i9O5OQwpOwbXabRHNy24YCSjLOeEKI9T
4RN0pzRsWp09Q2wv212fe8YhmRQ7fBk7eCSa7o5teXbU/a6+AplpR1lVYpMxpX4mPFqdBriCB2Bl
8WPSe3jchuKtdeviDMi5QF7ueJdKefsiQz4HgH3egwK1vvhoW2lkV3u9WXpGjyhCdW1WdOEADBkI
/nfB3EAW62pg9VxV8znIxgsRx8spN4JdSrDQbhrS5gRvmkkZID2kdFNAc5mvVRaYegngAwwG8Co0
pY1Ens5150nrnFTZpZv7VYNozUhgfRTF8OgBk2ZPbuxW20UK86pEZKWjiotIiZz2UM70iOY9OnGl
k70rMGhlQXoPVfw9EOabIAJ1m2sVDm3XrlcNnnlktP+K2gyzDpPUMlpmn7faIMyvlQWwHYwYs8Hs
JnUzPGO2+ziO8VVTe8lrL0xFvu2CRYa0dlTSa40EXPTGzSzr3CvZ3hlZKU/aiH8EN/I1IRbwJFfF
qkf687qIJPJHq2PmAWybDyHisRj/T2LlJ6OxG/BKWuJdD07JCTWlDTIIDph6cpRt7eapjIdtP5rB
VW8Y7YVCyU43E3zHTeHpJbLuJXkaTH16WBooDoyBGMWEYlTLufCUtQXu7UFQ7P3vtMS741y6DIza
ADgNmCrr3CX6ve9M073HqH1rqWHYru+fFWIq6Alloq1uZe+pyONJY5yj2ZQCJmCQqFuoRcBw8C6s
XRlhRs5YiuopTOyYN4KXBN5B5Gx9Bu6/TUWZt0N1ae8HPAIi6oRZXaTeP5PJTG9tysYbu1V+HiVl
45PJBZ2UQN/crBBJSOb1eeHcriHqO5e0rpc+T6Yra5jhVcTTKZ8GErjRfQZfLeY8MRhHU6KmYJ08
1kwaTlZL3R6aUIUOikRSEebUDmwRSu0O8aq3rZbutW58B4FzP36BMel/9Eh1kM7WhvloVo73Mk/M
IfY6NsgIOiXSgmagHiPg5yCUCm6wH7l3XSkXNBSNwCfXegd20MEhmA00d8IYuh/C9P0tU6Xl1Pbk
xVS2jgq4oxtK8N81s8eaEqb2ABqUwV0Zt4icYyu22PznKfO2FGuOloHaNPoyOPGjBg+zM2CjBRWJ
BJCEsm+z0uWd12t0DdqaBLSmNTeQi7f0nms6/ug095OnlTvX78ftRIfuqVhkQ4tPWiGDofwY5615
5gpmG9j7pI3Gxn50HG5scl7ByAO+rQLzNsFrfnBww10HSYKCSijnIYaijP55avYlotxdqaT/NvR8
JRaaNhrlhCLM7wExhkXs+Pt0rM0SiTIt+IQk1Odan62bQfebC/xbyn7y3NxQSETV26WATYdDeSz3
ZUErGe8RTZymTa5mzfGbTRzb5XEhiPhHz3b8urem4Q7rzExguEAxFqGh4J2OzBbDUjM6N+zYxR6B
vscGwGhOiMV6nq6eXIC8Km+F6/QXX87zwQKgSiZr4B+qGYHA5NdaOBoxrj6kvud8qP29nYzVe1G3
nrstRNC+2ImDxRk5z0fgVBk6UlK9j9pQ00vKSxjN+LUqPnrbAeYpowCNTxlJUlzfdGHnuFo1qR0T
QQual6ve4zqo0frmarjC6pRFdIe3/OLZtqjMb+gQxCYDJ1OECAOJ2E2S5ewFQ/PuGfV4QtChbfyA
d2CbWoRrO0u8wVXQ3xr6KN/zrmDNbkveGiwCXQE1EptwWzhPvT6A1f8GC4oBMvLfOf1IIS5EfSZL
5L52X7NN6rWP1k3r8+wI8yabnOFJS+Lx3e4y/0syBISBAeHVUAfBpXR47S1V+T/sndly40bWdZ8I
DszDLThTEiWxJJXkG4RqwjwnEgk8/bdStv/fru62o+87wje2JZEEgcw85+y9dlCjmK2bo+G7y9m2
iwgVjy8/L8LKL2ZZ91sjlBXG3x5Na87MdsMpKr0QsRpsRdXT1bD75OSBgHV4V0Ix1yvMOwJeq21V
zuwZrY1OaFNNE1wEFidA01bRq6OVzOJsDXU3bYVrtyxny5p+Cp3CXjbYvKeTFym2EYvuEPdlFbH6
jKvxlEOgYczY8r2xKRwcsxPnbs2nrwSlr1QYWbVtGNj/6Icw/zWx9a1MR8m809nfDSiaQR1900le
FoCP74bdGT9sf5pvk49JVrMWG6vlzypXRc8WiqTYRjX5a9KRvVJJM9r0Y/7MwTiBo4CSKSv7q++8
pOnKtBvtF3VYwk1Vv5gePDYzNK6BVGWMiH/dmEG4d1csI0Mjlo1bmjX28Ix2JxY/5t6050NqbJTj
gCRx2HzBWcoY1qBOjqdMMMP10yPqcXs/+fN3sHTRgVre3fSICvYlGX+bsvbP9lh74MLxadfetA/T
COhIaJPUkHA7m4WybhYPD8pqva8dfzhrp/BgL30ZY+KrDq7I1afet5nuTWF6VzTyh9FhhulXJAy+
lPY5p7ELmi5T53xYqmNk0h6wlSYedsN0wJ5ifikFuTLU+Ow6HITO7tS6uxF7GI56Md6aQhW3paUO
pZ9ymufAhepI+Vsxq/sZUUicuco/ekOfbcyaeSCxblukbZgBOQo+KMarsM2Lbh+K8bsYjHbXGe16
sPy8ZQQc/Tos2EmGpfNvREfvgBnXCSvm44SxIvfdfZsQL2ZO0aWpx3Nt9G9zvd5PZXIWrf/cDckd
Sy4NoyoXN/6w/iBG4gX62jVA895xmt40RfUemfl8WEualIGIvlieiVRhSKdtZFjec1vlzOFb+4uK
LA5WRsoin9mnyh/EFqXvvpg6AAUBSPrU/1rLCHJbTVc7Zqbm7tJ5mj4Dgf+qZH7ykVXs+6DK580S
LelnsxvTNR6QW53docNtvDBjanOHcfhO9vmrkmpED5ndev2zGcrpqQ+hfWRjDmEpzY4BdIENIt/p
1bDh+6lZMhCjhrmdpsE4DqrQj/linj0nD159/ImHnDjrECPwPJzy3qc9Ohe6nAiiTB3a2eIInQ/I
dRH3r7cCK9Kwz2p1JUAk+gZZdzHORlfR0InLaESuaUuUDjcirIENxH0mUUPYg/57dl8W7wtN55nG
BXqQU1oL7mhSOLohpqvpFvAIigpa9Jji2Ck5Dx2R2AbGRUwiIBIH92AfA2IgYm6cKTm1RBlfb/IW
pligx8TnAeRVGTF4CBIGjiIUUls7JPQKXExNfdqyvNBn0jONpUW4Brre2CVGT43RYpCC46+wPUlK
4D5Z7gwXMaidM48US++bl8LwcrkT0ULZMQUsS7PWpTWWrk4ADsrvxWrP94W/WLcmolfis4byjEgj
eUtrgyZ3SozE1Ro9sfM9ppH0u6T5hbmr792JTGtonUiAXs+8bvzcN5KjQwVX5dBZznDibM+fNsii
2WUtBToA83Tdg4Ohvpp98atfwQ7JB82icbPuwQMpUFqyOTVabr2y5Z9spDObfHSSs5N5NAVGivxw
CugR6EnNx+sRzWcwK/cH5uQOM5uykge0W/Xrx49EYW1fTZ+yH81qdEB2ux4JN+jex1pQg6nBpksQ
OvP9vHLsMSg2mfWsjf8pKrmY8C692MwEg2vdKO4qxRiFaO3tBHxyW9V5B6EzhwhiRLzFGsHH2V9F
c/DJUPrc5oIPgBeFLCckk48jjRf0qJX1itGCb70hI+uUzGo4DQTIPZRK26+NjPSFclrvVAfvBEMk
nwtDSPLUeZR9vcy6duMtBTAbo6O2n6YKdzxm+rmE50BXhOYli8GEWyoxh2jbutLDzJjgnuH+N1fj
NmrT7p3mX45tpKCjGK430QBIBb5tJGjJ9ImAfpKu7V6U84xQtRfmxbNmyIrFyoRs9WheJSuSZn3f
GXmz7iUTfI7/AN2roVofMzHi3ZcK+TtbQ5f8IOyLj2tQZj1ChNQq7Ykpm8W/8l2pSxtILhtNyo2L
GuHOhtt+QIz5uzYyWJL5fq1mdJVtvu59lztAMGLO40jqP1gV/ieinQ0CttFedsg4t4L5+lYRA/ha
m/xK2biIxLUEtGsFV8vydVYA2NOFpD6Ur8s6RN62nw3zNbM85BGlKGG8jNz3mcHx2gros24/Gk+W
YSc/Vsg4N7LgbnLQaW8LNM3vtBIbBz29LZ/JlrJuIwvztsS5/J5k5I8sScajY2Q8wq6DRg32Z3JO
Oqt9L0kiOkW9MuCVjlKHLAxVYl0pDviEje3T/krStOQEjOLtEDXo1albhs+C5JY8rs2qPJO8sd7J
sbWvoHAA0ugH1h7L7Fu91t17H+a8tJpGUhwBXJwELVfEsqExvq+aSAUy4FH0/F4Ek+aGxffL5I1y
k1k5pYfovmJOjzbwpcPDKIfkTLp1cxAi4WFHX4Y7e4noWDTRQWiLQ0qKw51DC/yuq2XyNsze4m1W
f7VuqtS2EALBo/Eq7WcSVD7etmE5PJg4VnBhD3zFnr4L5o7WnNdpuBDILzAkIeKXeI4m7hK4El9S
WFXvjCKNdsMslme6Hbxk21Kd7ieIv2+Ry5VK/dR4WikIfgQkU9Q6KYF7cDARycOYTc7o9bFZhQ7B
N0aAt5rgacq+0M8kyVrUyRsKDPVKKrv6VcmQKdTIgXygldqliC0AUeAuKUglGGVzwVo4PeXmHH7r
JBS5HD3NGcwamsd0Zmdy87nfL16wpHHUcAfIqE/eCt/DqTAOzpBsA9i0clt1eft7cvb/VMD/IHTA
/eQD1/zPKmBtmnqjC/6TZUr/0h+WKeuXUM+1AiaxOsBI4/n/sExFvzDAw19rY3HUYl9mVX94pkhw
gpnKPNMPLEjUGlr1hwzY/IWZHPeyxdjhNw/WTx6pv/NM/TxYCD1GPIGHBhgPFhOMn2YtlvR7aZop
JhSMw/mmbFLv3hmgQnwslX+6NP9mwP+ToMDVrwXBj/mFznoDj/7Xhj7WKQOLkdWcAsgZl5VT06WY
iINeuAK3ff/foiH165FEQwCjllhjTfvps+GIsVnBTV6vtvD6zmbHo1rQfL0IpbEH1DbOzlGh9TT7
WG///sP+POPjxfGi+S5WNMbvJDv99cOSJDLiyRoapF9CfKuJFffjypLh7YL59KpAnr4k6Fz+YU70
by4xYVSUHUROcq/p2+bP3HnMngXrX1CfCFfViIRMfJNNnTNyyCnEU3P5r19Q51aZvBx3Lwvsv4hE
aM92Nta2Y2YQZExiMbwmPFy7OnQMEnmk//b3l1V7Fv+sy2E6DFcAMiF5F1xcegB//YTLaJFSlygJ
2VZR0E3oUmwcO+jx4pAgx5rWWG5dwgpqDxk21rWXXvPSdF0wbzIfIBfatTG4isVmRxykN0lmGfil
LBWp18UO/+EugB/wr+/XsmyefcZ3eCd/nqE3dRSmDLeno0eB4j4Zte0lTKYqSHRpi/em7lNrpgWb
LVUaj8KznngGl6sRVcORQGzfP3/gOuql895Th9l1jHCFe2kEUXFTr6F1IZOmzs6S7M961wzSusCK
4jrQSwETNdkjrm5ESTZTXXsN9+yH1sUYAmPYTYFJnIyxqKslfPWQ5BHc1BXRj/clpDuNh3hYldyF
ZW8XN4PjIQJilfC3eSjL6FiY0oC1ymDqSnE+cMvRuiMzMxgXAyM9wUiW9Z27VNH2tBCzKo5bHLUe
VbPMt42ZVZgYPVpOErOpjUWLhWBAIUiSkRzVgzELAAQl7Q0YDn33NgHZeVsH0zmRb0hIp5Kyewtr
Rz6YZNbUm6hfWb6UWUQ7csW993Aw1RVoEgdYThDdm5MJdTV6w3ryhEagrLn37pHyRZGwROrNB/g0
bbBcIEpnwKGuzJz5pLjvELxWIy/IkQnSCOSMYTshBn2vJq5juFLhJQOhdFPEl7ZSi76AB/PeIa+p
K0lp0a53Zs/ZLxziQ/odBtbqUSbq+tu9ysASZ3vmwOy/y7XdH0M1hxrX48Pai4REOs4SHoHBNDA7
R6BN6lPZGz0SBaR1IT15jNSfMzlHL2SFY3tH2Bwoesku94lsfPe9HcPuLUs7Hn4U9rfRAhOfc0yR
xoAEuDMwgxobN1XtDWcavn6na8kEwE8Bpca3uaQ83VBkFKbLTdpiEd3LiW4d8D8LWBXOEKzinf6s
sxtVqGlbbA/6+rtKePghQneXQbUAnG1kI3VWZF4+fkYkCX3ZxSxYN9bsaPBZH0GZyu2cRtF+6kdu
4Ew/Hj7VQ3ekmk6SGw5JBDjLcZ4gPqkwujI9tpCKCQb0E/0ShMsXAFRjR/BmXdrqE84RYGr0yZmW
7itU8HSztbaMzodlnmZL0LbCTGc02Zk6ITcOi8kQbtunxpJcu67xKlpHHv3DJptEcmuv0fJGaMT8
TQIdlJsZUXz+MC+GPX8eufzZYWwaeRhpaEETN0twQ6FEw4qvHk2q9LjO41NHM2incmAiSRNBPXKA
TmoDzez07h4wtHOhowwXSM7HJFrUDaQc9eTXE7yPLsn52o3l4tKA3oxBZr0iIOu3Xbb4sViUdY8K
WFznrB/h1mB4/lW4Jb2zzBkxJqZRrm5kYADpCduUo7uJASU22/USkjX4jY6fdfHrPDgDmPAvndlE
QBhWF8AVCWZ84QpDMFaCFOV7t4pvUZ4BIByNibxebu7o7EJqJN7HlSPmniBIXhxwCg2mZPdZZCmI
paEn2Doo0JPDUj72cDAlP+hw0zFY55ZaSuiwlDb8Z9ZldWWb414mfz3Lj76RsEsDdToso+jePAyh
L/WSoXgK0rDWEmKprhhP4RhmnC0gwXRvC2DLKiYN9Z1KO30pPJ8Fs7XLp8Iwi8/FsPJgIftzUAKN
+SEPHOcUdhE87ChKmi3baPvke/VuzcGqjHyMdG856AAoPFakyOvYWb/Wg2GspzVzp/Dk1AOhhhur
G5H7D4Ayz77tOF/WVHr+bmhwBkZdcjsbXfowgA7BPBMhG836l0oM70ut9OqfWy9jHU3bYuI6qahg
nfc6Kz9HLRPCyUimeVNls3nXRXPwCQdZGcBUnE+eMxly68y9teG5DG7cpB3CPZi75l5NsN32K5PS
Ogs7qpuRIaWkw7B1F7uH3Vu5noxrJ2kuTWC4XyrL4eeZmYnh2csiO/milYTkFPRd0u7XELx0bKfl
RNbDWBq3zHwnLl2ddPGKneEV+mJ7BPsRQnRzzG3BRzoEVoevAdLg+MYQmrNIJzz4UDNjLLo0fK19
BImK4aXLYuFW6XDB2L1gUijCi6EWtoW6LeqtUfnjN7MCX+ElCLyx/67cNPhB1XVMzXCbKkPfSnh0
sR9nrXVxqObzmD4va3oR8XekzbvxBalU48xXg1oAaFtcT3QgEP4vMGiZgaR0u3H/xMpJo1ufYqrG
zFyy3g9yOC6ZZB2UXjqOB9RW4W2Et3xThDrEumAzqTcIWdRD5/Dyvjf3MCoX9vF24IWdZHUplYnB
3Hwsgeg8kmEXGBpDs8xmlT2IuQmbeOroltAihTNQeSt1vDDGb41TsnPQC+OOsNfeew906DAiQ9bp
ml7QsF16zBRbfOsBJ4aFuubw29uyGm8A85nBfzoTGMj2FcD5uemrYTjKhU6SkBo7w+ByZ60Vg3QM
2qj+cc/UrrqzCKR2NnSA2rfZxlh+b3uSd53XHZ+VvEBessFFG1zdvqsofDtfuGQcVQQUYoieQ1MG
AUQe1z9P5Yh7B9nb8ikxWu/Np0fCQHAwitu5GxRDOaxeI1uGlT7NwUpnpTUr/9ZlJj6yLgbWp6o1
zHM3ZcYPgfrykE0z4BfeM6ccwLDRi61mbgt6n+zkfSSsJ2foNeoIbzP5LYFbajZQrq9oTwcorjwc
DpupC0ExwVUTDQNEvtEC39P7OtXccdXI12hYPVWDsFdzMLfeSLNsR1JAYr5YxuJ6LteJo+Un38mN
6ZP0aR50G1BXaRZe0RtExOgxllsRI4Rpv+Sai2uk1nMRclpGNzULLw4sjhuV2Xq7HHY82gjagcwJ
UHrMPkTUGpc3+hk7M88loOCLw3h4kxsZkM9s6beKoe25guZ3x9ffX5lbZ6dSZsYrsCXYRwL2thwz
tp4lrI8peUfxogi8rKbZ43MAViV+FZt0EN24y5gAqnMeIYAyfKXXv7fM1NoOq1XHg1L9qZUixelW
0VZyWWJQVYghLvBZx1bJiUT4dfnDyF0cYLJNjjBra/ozvQTn1o7zhlXhRzOAwauW+0iR48J9zcEA
ncg9aErzHru83Eqz3vjjUh8V5OEdZ+Pkk/KnZV+wiW7xn8875cI4NIV7R+Bl88i3zb7cqOrMzlcf
3LrEw2M4ONEIgUuj6m4iNyh2uFT3JomSz53hT29DazuXVtZFu3FSkwOk6g9VVAEakg9ObV05+TU7
G8vRDwxb3tn5jVZQ2+AMmCsGs5uER6NYv2OT5QtxJx7hPRjvOdvSkK1aDtqG1PN31J3xMkm9gsA6
g4mVTayGomhvpt42IAUufXc3lhU3aZ2x2uSMT/rNKpmuxYlCnPawlHOBiIBj9/bvyyhdJf1ZWxei
1abg8GgsgCJAg/rXKgolShGx43XHzvs49OOQteNBH3z//nX+pfrhhXBS0Mug7Idk/5OqN0oyMRWt
6I4VzEXauEFgPfXjgFzKJZbmxnd16fKxHP796+rq+qfPF2qsDJJMOtVUin/9fJTkFe4z8Hjkqvrv
wqiHI2PvSu3nIGP9autmufp+xlqM0YpT7t+/+s8aYz40rm+qYh5w3sSHwPVPgc7LCG9ttvz2OHsJ
BcgaDgBm9aqLFofVXqT4VGOzGyhL9MkbuwCL+8db+F/H7p86drQjaHr8547dXT6O+p+uy//StPvt
9/6/OQm5Ozl62F4c4GY+f/IPc5L1i++i+vsz4cihq/YH0cj8hTYfcVWRTXfCB0b03xCNfr6NSb2l
cUXzgAjID/HvX29jJEVhJmSWnnpFb96shwUmI6zH2IXdYm3NNBu+qkn2XzuLnvqfLsu/69aFPzeT
Ik+HipL45jtO5Jo/R0DkAbt1ifLpxEq53pFjtu4Ne2R3ZR5Aj10wYhK9Z6FqwmlJ4HW/MCiVrd3c
IihbntdkgobbpiNedwJlIe1G1kLvu0xsNIg52GPGpxT1HXghOx6LfFpvkhwoxq5Ba7dzLOhBEWiP
I++SFXFhZF5eZNbI70ER6ic3ZygzAGHmeEd85pWopgByKlpCwEJA9gLeb+dkyyGgm35GmMZ1Q8ze
3PI26ZkzB4GDFDF3wlMGIGUynNMyMZyN/cw1Gpas3yKIrWSdjHP4kU28IN8LvsnUScHCRACyX0yZ
pPmunlLFpLzMDO8tMyOq/TiaI5HdtMIpQyee676bH3o70KygNJzTyxoBC9635WKlV+SZ/p4JTN0j
MkprM9xj6hbmlhme450sV/9kaqFef1VD2TEVRFoZp7Rr8Ud/JDljxybV2cLF6YSEC/pWyim99hP6
k9CN0y81E5p7GSwtdrO1gvcesPPE+MfDV2z/AmiLNWP5R0V0mMgDFvxb3Jpy+OoVvbwEYcHwvzRT
54gx3Xpcc7vdzkkiQRw+oh+vDvVQo/ocw+oQRvtukEjoZOX3oIvnfc/JEAVQaXPDoKqIEV+3gF2i
5FGCrnsuO698JT+vjAmNzzYObGSUPqX33WhUcQ1HssH7SPVb1DzoO4lUOIkwct4Kb4QPlWXtNg/o
sQLzFhSg1dG2rOqaVUX5KJVoaEYhamQE0x8Ma/bPY9ucVLQ8BbTJiO2IovGL1wIhrsss2CrHyU9l
itTTnEV9g65x3I1oUTfZmlfPrWQWSfsoO7BiR1/9FMYnG+ZQPIB17N9TyQ4IGXQxL9ESaixAYRnn
hvYdihloAo8D8tzDTJP7xbErKtDOfvP9FGWA7ZZfc85lL77unbqz4+7Z/90TNHoZ+72ir+bM35ME
MduqSmsXYWVaYtYE8T6syEtXQBNWNsNo6uYb6cLXrsqxgo+5OmCy0qQ9Dqlbnlr8RHeAZK03zk3h
xQJqRSrLzMywKKsT+vVoQ4jD+DQScXlPy6o9lk7toI9e1AV/O/SutPMeaZVal0l2xWsP5PqNb7Qi
X25ybqZ2rY4gDKFJr271FYSqnwCESgMENM76gNlF3tZCtzvzzpJxwoH+uhQC8RfplCwrjsrvwmVw
HpFn+lBItGK5UkNixF2Y5+fGT537KZzGWzk4+Wc1mkrGDlXTXQc+HwFB2T9N5TR/ynO/OztoGHeG
yqM3uJjFyyB9cSO8ltmuoq4+m2uwotyuM6hOJkaRblU4KVfST+gehvuBjvEPTw79AYfZ8lkVNh6I
CBVn2dUn4SV3nNWbLThp6GgRtYPVpCcbh/jiARlJInLPS3f6NjWzHTsQ8I8maNm48bp2a9HAOgAU
Cfac5omOU37/pUu86cZEG7qvXAR2fuPOj0Xr9ZesDBcKx8l5TJZ5ecWLun7lNCEfuSDJvWo7NDTB
YqGam+stz4lADqyK41y5xYEy1u8pbNvyucup/vjaeVoMxodRUHbfHMMXB1gg4EhUYjo75SvN3xjE
Q4Bqwt7IevE3hQ2hCCeI/WMlx9mITT8hssAEzhzZ1lOnSnmXJfVDJ0V0sVs7fUVZWpHfEPV7BQ8K
LseSm3dYs1GYMge/GKiVHxcladlY4xLdtq0FfbJS91U/gde1eFDP05S629XV4dGo5tQpL630DOu3
wYRCgggXo7mbekGmpsNS01TNDRCq4mz3rkV4Wu3ZG1MYKN97f/maFbNi2muElCeQ6oojbsD+S+kH
O5rEiItUGe2SvrV/LTihn6rRo0gGSvZkDcV4TQMRXGxaaojq+rWiyCv757FBUaW8QA/JO+MdfrrJ
jmbN1ypHCkpMzhjcNvO8fEMdXywIaXvv2DTefDbSWh6I5JMXCQjubFd2AySj719mhK0PsLWSLQaB
9eBAZHlkZ+toMqKiDEUT/FhyYmliX9DRi6L021yqYufmaxTDz4evH043ixq9baDFmkardZuRlnCG
FnHAWDMq+Y6H2Ko2WpdE0s1qINeCVvaSaEloq8Wh4YdO1NOS0ca1+v0Yyf5zmDa+v3PpE35x0jQ8
NFpwOmnpqdQiVMIthlOGLpVhOsrDxWZ/A+opqguSiui+QP90V2pV6xSO7blvDXGXCPrphVt6l7mC
MG7IZvocuh7tjA+J7Pghlx21crZLx/B21WpaEH7VFEcTeIEYdkEKf0YYT1nm+W993rL0fOhy2w+N
Lot258d6Ur8TJiJeDWm85GbSsCxJ8CchEBy4ewh/gw8N8PShB6ZF1G9qKwNv0Abhe6mFw2buvLvT
2N4ZaeN9CrW+GGeyczuDF2cZXOyHpV8RVSXNnf4Cz33lwPMW9GyXJt9GWr88QSk8pTYYRxgz7UNL
E+U50Ipnau9qTyimR/ynFkRHTCBDn82xKnNkQy3epuVDQe2l7ld4IMiqLdGtWwTr0SegxJ1OmbEx
7KDE9j5E2TV6mIfyQ6ptS4VqW+u3sbW0m9l0bsMPcTdQdvOuNy0mML46R8IOd1Zu9N+pRxGGk9IV
HcknBo+MsW4zagV5kyzjQ7dW3UO5dP2xyGz7qBwoD6tWn88fQnRiKIPPnAXsJwWvbolJDAp+hLUx
vdVax56U3StyfSx6RfQIg3As+HwmSYucU8aj/SGHL0SRnWn/UAx/yOUD1x8SNu1+/Zp3Q93rZJr5
bCOy91q2t6UMU25NXFK11uInWpWPvqS+mT6k+jP5JMXW+ZDwKxbhi5NOPcaeAW33UN/LD9E/QBz3
wH7X7KX2BFQC/qSRW8GRbjhdS60pY66LjUBbBzdGgbmgx2UwYQXFiV/iPGDmYJUnr0qtDXd29TB/
uBSwyuBYYKLG8VWOy640yvnqD0MWz7SFT765NPeAwWeeEwctFlKj4BsH32znuqV9KInoI3gJpk+M
mQ4LhdBuCmlW6TNzhOqZMQ+yWpTB7sZL+v6+K0V0s5Y+p5XUS05m0E11jKAF20bZsoPFoUxO+SSB
iCtt8ShEFPUxgtl84ogZtcf6ww/i/O4OKcViYRZx+vCWsQHGHxEO9Lmz/tE3MMe47rBcsGtZ26jM
041Ie2wozbzuUg7+r6sf3hR4VVJtWplwrzQ5xL8KP0tdBtavOZPRGBUtc47EBxsf1P6rpa0wi0H8
gpxhp/baKNM56/uAcwbJ4WOorTQIsfwt3T1w13DzN/CHZzQ+Bp1nXDhK23HQwNW7qkif+Vqc/aRN
O9FI+9ypONwYVX4PZtK5G/H4WNrso3PuSfnBAFRqK1CnTUGFtgdVTFfR8NClawNXs/yxERGPtc+0
sQjd03220EB3PlxHoTYgAXUY9iSN2eC7sCcl2qhEy1LAdSLvRJuYmBo4b0yG1IHuMjjyKDxE2vSk
tP2JuRSWfG6/d1pgOxAAyVON2O3YGcly9rSFKtNmKtCXLvRBDFbGiNUKUXK4Z/xBRsKHB8slsxYl
WnqBWs/OXhbLvWfy4QrsW/lKN8zvu0H8Ror9+9LwX8tS30YyAjIOA25IffjXsjRL3IW+f5ifilrn
2BgqIB4MoT3MnwmFpGs2VKScpRq2bPp2f//iPytW6KvTr7JtfLce9Lropxdf82bwl7XLT0B0hq9r
MTSQoKrsPiQm6R+6Vz93yXgpx8KdAkzOJFX9Z3FD3ueFr7Kal+rsHhuIhfYUZHzafv/7j/Rz8CSO
W63CcVHF4PHF2P+TWASKIxPbMkhPuCmWfRYO7snXGUBVk4sHgEdldCujzMw3i1u/d0FKRT2vaXZP
CoEurpOMd/fxlv7XP/qH/pED35077j/3j56+q/fxz52j33/j985R5PxC0QAxhRuTYCOaj/+vc2SZ
/i++o+VIocVwPtSG5j+wNj6aLp//ZdNbMhEr0Uf9vaFke7+E6Gp41lCBI5wy/ytEtuV+5Pz+qTWK
GAWiSwjRxeUNwbjRzcs/NSc5IRuyb1vm3709fJaGSxhAtXwNlV1dVsvod5mBJUrVLaE6c3g3Mtl+
Jaum/9S1xqfeHMbzhIcz7kN2LJIVjRMRtH5ykG2RPUxNb7zT5G052LRmz6Q5CbLY8/AePgCPW5xH
181Lu46NprKCE3zE0L4A0DVbMgx7m9rAKNfWObC9dd1d2A1mUGxM0sEooUro+aRRJgn0aWLjUpNT
ZDcPQ/9chY3wFIz+urLOWaR8O8Y2HoldQHzAuM+gzXdn4dIUQWdCbqNpxgqzTsQYC0TjOWgX+8Vd
0hE50dparbcRbqLCA4hx+H+0KzwzgTqZB8VTsoD40FPrUvZbpAHte9Ek4bfUL9JgCy5ZEeoyZLRO
/E04AmID/DoU3VbwFsZDqVr7BpzAOm4mP8pukoJtcDOLgMhIacLB263UDSGeuYJjZovqgqefWVrj
iGOBmYy8utB7I2vNZa/C6wCB6VNKrhZf1lTc9XbTHgt7fim0W6IQM3VWHaXHck7JkOuBWHzOVT6n
u4Vyhy3qrnWHm0xbMca0bjZTNTL70B6NRkZgRfBtCJXoeLz5baXbsrHJGCuVc0pV+cJGSltDWz/I
Ff2S5kAZHfbATysVetxgdD9MXFLDIWneC7r5gFQh2Ie4S2A+XOWav/iV/QMPibhZtRElKumHZX1A
cIB4a7VlRbbNsRR5tw1yZ6vWmvagNrt0nQkGul8fshTSdGmXLx0C7i3WjhZHmvzu540PNnpNHuYI
8x5dAoPqYUpihP/bcpnKgytdK1arvLdhIG8lqoFNaiXYH2eZ3SZTNdyFYrZ3Acmsp6DN832jVi9m
wpNtsNiGX/LJJsxBevmXENHGWQ0YVrveM65pt7jAzNPv+CXbe88ACaddRo32G6E7RIOdd/mx4cQW
TzntO2LNPRDguJdE6BEwxyRkPww4QtLa44yHYPwgMUDBTqTpoH1RCWtHXJJ2QRgMtqlW+6eQtnH+
S5G4RCZEqbal5TNq25WnDVieKaudBTQiDm31ZGmrFgzNFwPv1qpNXPWIkd8TxmcKUALXqSzPWe9F
GwqK/Iej/WDTGmwKS0BWnN0S3VJPZOW0mOUtmRbTjc8oHanQEPZbB8fXj1b4cPElAyH4luC90u1Q
YAHeoG0wjnZpTtfFkugWKrfsHtjhMVv1yZBfOmKI906bhyTiJMG4sRgEP41+jYPetNb0AAfRPjdT
OqDtc8hG23JjlSv9W/F10sY8M5HyodCOPSm5LdJI2/hCpZZvfceiuksDDH9AFpujLWZqnYPg1lIa
Lk1WBXpUr8SwPIsfVk9NgtQ6gVOupin7sRRjxLM2oy2LgSN08wUY0PjGeXKWNg4uONGWrM2brInq
w5yHpL/3hn1AV8MnK2f0h4V/CDLS3QsF9bwlzGznEVyDyGrV858eW2y00ncg0g2/zvqq4Cy9ALKj
5VYY7zxSn4noAwBBQBCzUHEWRu9eSM0ot3CvC+Dg+Tf6gsM2t7v8pR4KZo8+ULE7e1i0NW5aOZVa
tfXABPu5/8BnICyObju3as9WJPZO4MhbCS/h6jqR8YlRafCO0zjfpmXEILKO6GlPJFsx0lQ2rNy2
UfulWmjrJPSSRSLGbSqEuFRj1u74O82eEf1yGPRTW7qJ/whI1NknPV0yo68yBA3yge5DvsuX8Thb
Zoa7RNAs7cM1xBvsN4+zs7w1U+sdXVlHXwcbL7FyszkeS0cenVC8+ktRx7mJ3cJ25MmtrBCyKYjj
WFid+JG0aEgKQxg3pGdnzKEniwE3wmJUbaRxMtneJ3BUY9D9uEbD8n41THm35BERCMuEmKZR0FNH
BsMysD/Udekhi1wVm//H3plsyY1c2fZX3qo5ahl6YPAmDnjv0XeMmGAFgwz0gKE1AF9fG5RUj8nU
S5Y0rpFSUpLuDsAM1+49Zx9yKgM/wzfPpGWPwLFlD+6vmF67wWLiUQNnw5OIAurYM13YOIoUA4Sd
94PHbCP36hwEQolXZ6j9QzNNexyt/hGp05qHNYmN6/jlxyzrcSvW6fWga1rI6bYJs7Jm9uGD2nj0
0wzQppfPYcP4J0SUeKQpHm9aTX5OjfuEdqveLr6C59HJFL8hNF/NAsqY4KHdDUM5nbS8+TZCEi/6
CEfvVCD3VHYTFPAwbpCuiosxcWMrMWc7lfbiiEnHOWg2ebaNrHIUhRXehhhlByY6Dvx5hhiI7J8b
JuFvy0JfukKogeKvfzPqPD9jkIg2+lxh8TXVvCEkQr/wDKBqTEkhU3n+CY7J301yeYvlCtBffPay
jAQ2WtV6ZGxGQqF58TPBkLoKBEqp2whodZCMenetLG/k5Y6FwhHxK5FNnxigv2PuLHaFTcEwTtZL
2Q4J+MkOlZXHX7W0VkvA39R/toNlBCTg5CGzIGLtOpXcEqGT3flGLaFaGMsFnSmXwc3fhjISIZtp
za6dji/eXPPC6M212VyRTzANiMo99nUnLb4aFZlgcBnq42CVzi5j6hIwu6h2zITLi6EbCj8dp/jR
nL92SUQnnyEijWS+A8jlHNt54z2j6ltI6+1qLij2FiS/7kAgHl5Bvv7Y59kryz7vr1bB0GPjrnHs
ppgfiLI9OqTiBVrhx3cDXKJbGx7wq4u1iUm5CuC3XuNB7g4IM2MzmFamCmEoXGgwKNaTb+cKT7JD
hFDvba0lcgyMwG7MnR7VHEL4xovpjLDC49r4htcMb/jMfaaFp9c3o770B0Fo9sGdbO8Njq94xZ/2
kcmov1k4uGfbkRCDQyZ7E7GHM6I3yuh0WFibR4KF5sA3OORsItvmiRDlfeP59r2aRScCdk2cYaCH
jMC2uuITvwvmcBZqzD1FB1CTQ9c6eyl1myVTOT1Tj85fhmAA/hcCuXiQKfxVtxcXD5Xolw4x+9cq
JsFSJdESZnUSB01sfkNiZj9UmAE+9BhwB+EoDuwMLR2mo1T0VTZpDlo2pGU7fQjGIjjBhu5hUW1z
jNg8CbvXaGpXzu3iVGemLb2LosWop4OuLXCZEXK436IYJ3pidC6yFzt9sWVrXem0OEOmZcWWZFsZ
yJrWG5xHtySI1qzvWxNjezBzKa6n3MAlLKKaXlMvhzhcWmxNIa7Y+aby0mIf08DeRa7q6U+AWpV8
r33fOto+s7Oo3K9W2xd2s/yFV9zwpSA54iHPepDXGWAwYSsq3qhxTlgiocGnZHOD0nFU8RzjQJzP
o0aQrb8k7cnXDBZEQhrlluO3TxO+xe1VTkwaJquSaGliIiNE1971y9S/CG8ZvqFWGw90hH08gFl/
YzG+fqpNu2X419VZT+vOIfPORgxBdbU8+y2gZYL07E49xtBFyZGxrcEPF1+aDiNwOY9boAx9fvY9
qyy3HniwJwWa3vkS51q6hKMHBnfjDZbPQoTugtzMmeKtBVnl2kFR9zq6ytEoVoaHYqkYqHdJpV0V
1ZS+RqVd7UgpLa2QGHWgjUOFnJGIOG9Dw07DsV2q8kVEE3NM/tXDVLK9tqX/oEpq465qhq/ABmpm
uG62c6AVnduKkrSoRuYXfTmWjwztML0K19gr1MqXrO5wd5V9EtbALQKpLQXxQC08bYUA9w6ZJmmW
9hIRq0YU33bMdHJOqoVYESOjx+1O8a2Btni+99ysrW+mOJns0I8nAcuf+D50w+m3Uib+3EGfHgwD
1jblZuoRcQkqRlkPdJIcsOYUeLXntt0h85PSJwdsHpdzMVkauqxM3xaLrNrQ7BL20ckrmBN3jnno
E8d+Mby0HMKFEHj3wJxa6l+xqESh0LIovqTjmIKbmUWbbQ0vJgjZYI4Y5PCy2H36tr6MOFEPAwT1
+6npOQvoQPcX20nCscdljYdbHlueyXDozfQiM9zJkTG4nyUEpg9RgViF1d/22X4q5WOX+1H6qusW
GYNgN+DjMIf1umWxQ6fzvO+E+MQHZ4CfRHsdunaTtiDGM/LWU3pL1hZ/cL7rjG55FxTWZ4X5YlNw
PmZgIvY1f+1pAc/KODSVcNOt8l4p3T7RlCIKkjBNgCg6zUQ9Kc1tnBPAVouI6qABbc7cTA9aUgKv
LaspQ2I8rCcmQ+W2n/AEL5WebWPedRTnzbydDPLtceYeNaDhYc3B/b6PU3/X5sJ4t62JcUTeyk2U
szMVNWhwN62TfRqbQGLrVWOblg63F3P718LXxj35IjfmlOBcr9obYul0xKWCwEvDmA+NTo5ozgTu
knOkRViJ7HDLc9PspD/Z2x/ajoqHUoC1SJOtispk6xe8xqNJy986avoN9sPyoKWRGWqKN0kFOhBa
edHTRhcaLIjMNEETWOWmQjpx05vLfC9VciApuriacujMdlyZ5LArrSDoO0m+S+lYV1GUwtiQTXyI
atKu8o6Nn258MBdJAZIA00ub9yMvHTVjGRb+9TjFJCJUqXPIndTeGgWSbtHV9SkV+q1HBMKm6/Bm
If2M3zu3ysB/k2JIYdd41zlZv8FUinyrM4TfZAVag9jX3Y2pVktCidXmFRjQa2NCPktG+CvYaaDC
y/Ebwa3dwUsFcZwlTVGdgyfMNNwmm6mKIT3lJt0HN3bItymwngBrG7lbG8SLXzCpnckRD+el+QZ7
4UuXjevzNoh6O/Rg/hAjm1vHQ6JX4NHBMd3Z73k3RZsS5UhAzYzHf9VLFNtV+8oQdWouNfMlnpbO
3esidwOjtdJLgQP4lv6DEGD/p8HbjlKM111PvY2bh9iMtf0zeZ3ESdwU2wWB7yHOPPFd4SDeMawZ
D6XVEzekNcZd1rt0BCTJ7MnUn0jSzTYCQToiiyFMklkipnfQ1xoaxni3HO+WPIl3cdp85bxGKcas
bA6tJSuPxD2MOWlp3fwyYgje0O+5Ms0yeqaUemRMBfO/7d1z4qCuJ7uSwrGGEKeWptuAom/Dahze
fL25UvpsbpLMeK40trxstPBTOPiH8N94LwlENeYbLQ4FsBGAPyL7kQAUnANLbpyrObmkWvWKQqU7
QGl4aB39k6w76r+Z6qiKZfWQ1AYuIp1c97GyvjEvbtFftWZIvObzREzyp5TQmHdx5RGQQdeD4ntC
rbxZnPKepDBBnzbOcOhIj+hKIGJIzMcR5Lw/q/tGJ0x6U3gR9mgaEGpnd6gBKP5LnTPOZO8ZMPj3
4P/IDpGmXTOeHyN32Hht0gODYg04Im9PRkUpuaTxxFEnAnfFz7nKM1vejI5FYU3M9urLylMkTgZa
7+3owczdDiKR18hEvSP/wP+Vg54yYuPeyohPyL0U4xFJlqfZ5uWqm+qDwd7Q7JlvxSgHSO5wXbTS
djGdiObMWer6c8srKSgYXBKmtPYCZQXYzh/IE9Cd1dwBGSBKdXtPmLwF7sZgS3CmFsdLVg8Hd2ze
Ym85TTzwpM1IgShHu4p8cIZLgSgYLCG57mO/U2bubt3cKU7Spv1HclUXkJ7aBFSmRhBZzaWNxztM
FN9EmfLER7O9hbx411iyCmnMuMhecsZ5Wp/sObvQQFxK7YbIyZcUEOOZGFJi3Vt0B3EBDyIROLbT
utSRlHI4a+2hw0EaCzoXfb0Ruf1Nqsi/G8h3OmSRSrEvzW95rNM562dz5+boELLe/BrZo/6gPIZs
zjQDhMqGWn23O3d8YO8zNo5jt4ErmuHUNjSjhA6pJ9Ksq6L1NPos5OJtW5HnB9+prpi3d0G0mNYQ
Gim+9q0b66W7yQQcxYb3o44Ee5enM5AKva4JarDMMsy1ZfnIjSSaAh2u1XvtlO0NYieiNHjhtZAn
SfX18qy9uDlHJNdHUR7i4Tu1OGC2ZjnPX6mzWFqxLN/TTPduamVGV0ufDB9a6nzGrc4wzU80BuO0
oe+WyYoCO3UJXJd425+8yR5uieWxlut28mrsY25Z7+mClhhvevJzMPQTfgd63Q2dPJ1CaTDxCdJl
lrtUGmC0RKRdE0Jij4RidNYhjcbHObafqBDshyaK6x1K+/7AOpi3TtuRPeZ7z4oh+0YmlfEQgzIN
usS88fQuei+nCv9GGSGbY5qXhsWqID8rg6LmQk4jccjIL8/UEP20i522Rl+YOsPJqth/UGWQlbaP
QW+sTSLgVIpeGDVNicq+4nBDecds2A5cp26fW2k156bxvBFPmeuLzSDo8c3rWHlmX8CBOPnmtUpt
8TjyFzih1wzLy7CqP1jGaG9MGtTwr6q5u0IiMlxcnp4mEFL16Mqq9LJIoJwhLyx/0+OCoWKaFeoB
o0ea3/ZrJcQu81qigHnDRwCfj4Cf/kBWLEJ+DVgbTREL+0msFWNgeeb0YA+yp/kEMtBB0o7DRhqa
/1xgKP1mExUch1UcxeDvgPbdzzkAqMBkoW0XONEkV3QcvCfSl/BciFKG+Ek/FeX1lhHB3SqQ2Syd
g50jd3poDYPaxylB9VM8Gi9ZRgUeAjcvOa/b+m3X1Hq6KZrRu++ImqXibeP6tli08UWz0gGiS0Nf
plx87wouUv+Co1Fci1KRTgcBwufw2pl3HfO9e5/5Kl4GPfLPmpYYX5li5qe+88YHw/gBVTUGVmld
sa0ClvKAPnldkoSp3ZH4je6fN9ag6ApuzNaPs2s6/BjcMC+ZxTnTjdne9Y6yudMlqS99G0OXzrvb
Je4swjHnVdJKG+oR+Vl8yiy2yqpI5s9ClvorAk4KtcXpEcjRYLpOfB/XbJylzcsAonOnNN66cW3x
MuORCjnspFsRdyi9NDw2WFzKcxtN7poBBJmnc/KL1CtMPMzfxaVeavXUZxVSSsy4ZZhojJWd1orY
TnrtTuaNvLZn5R3KRCdUZVzkXnXCCkyJ3ALrsOqvvKI0v9C91XiJKfkoqO8uJHOr3dBT/dPOdOnS
aMk92Pwx8Px4pGlfQzKTXXk19P6HNuo6YoEyOjiJ3YfavOiEIbM0wKAl27Qh/DrRvdsKJdpRzfZ4
cjR3IXAyKggf4dQxUDEG9JvbE0C84Qr7cn7xHP8rQBh9O0LX3WXe/B7PJUgvCzl/RPYRtLGopFfW
zs9kwUY7tyXTEIqmudV40MH/yS4YWwIA8w7zb1Dn1WzQaFvCxJz00NGBCSEapJYVS/uaos6Depgs
h7mdHOxiejfcem5NH1j3C1hstjEW95OdpOGc8LLJ7LwmrH0Z84vmNqGyGd/QY9WpNOpkp+ce8gac
l3a+8L+L6K4zp/lG9RV94DF/9jvjixmzWdtatU0tcwnplLz7DL7J42LgoTAYYb0sBLherd4Zem4d
FMoDUujxIEuOCpZtB/4glg3MthszSQn7zJoXCQH51omHQ6QZBwqrfj8u1vimAdUKDFP7go9D7MRC
hTyBjdnLkRf15A3vJaKmOzU0d0O9JrCJ2ltlPOtBMCm0G8/0ET4KIzk2lTAu1qh9s2ChXCEEbzct
+/8mZQxGo8e3vvTKXuMrp8so5XRsi+blf8fW/5NEFgPLrPlXY+ur9657/0gGcHH9H8bXf/+Tfx9f
Oz6BzKSu6ACsTDYH//+Nr8l+thkYM6z1bOeHA+K/x9eW8Z9r9oPl8ceE9bfJ9j9oJfp/GkA/fEEF
7Pg60R7/ih/iV+0HsyN44PiWdAbifDtsGT/Prn1zJgpJ0ieg0/WZ1DHALLyXm9QTavPT1fkn7od/
9kmGEBYNGGb2+o8p+k9TcvARlbVMOp9ksBGVQr7Jqp42KkqG35iF/tkn8Rm+KQibtYCW/PE3xShW
CRqAy9urfACEJG46rGlIv5fnf/kneXD/LYEFdO0rrWqXn37S6Ba6X7cLAOAu/8yL/DPS0s+M//x3
PoZiEu82bdRf71HvJGSr2FivCO3yt76HB6QDWcHwOP03Lh3Pqg8TBKMMPrNfpEAxXWKrTvhFI7Tf
y8ShCq+/4V3aKvvNj1r/pp9EEzzT6IAMYxV2YJ1FjPHHa+eOwLR7HxJBoiCk4Ui8n+NptYA+y/G3
5rxf5VU/PszEugb03vHp7//xwwAs1qzNWh78hkg6t8O8lsHk24CGeAfaDsfUAmJA4Hj/rz+KnmNh
eVrjU4gX+WV5Ud8ORpFgfZHIax8GgoY2tq8xMs74p79+StYL9qcLiruJXYH+PKv6j79xGbJh5jQl
Dwis8eYNct5mhoge/vpT/sna8pyfPgUs08+PPC493kZDwafQwwJKNj2PpapOVfvvXbqfPumXS6cI
nKnHik9KigFwypS9L2hDg98vrz+lMyABInaG+kNwFiQX4hetWDyoKLO0Lj/0qE4gakJlADYKyt+0
vjSIJw+aKdF/Itnd2QDpgrjtf+MMAw31p7tHRx2w0RrRsQKWfnlCa7rjXkly4EGSZBzSRNKYEkgc
6YtVzls/Epgd/FbfNVjMDgLnY5gVpr8FcVGdxoZZFD0c2A7eFA9BW1fqw03SErx3ZB7XBKXd4Oaf
qDlRmyz6eEVTJloRzzSnDWTgdNv4V2bcB1uRM1cfeGnR/mvKO+AmxkvuGvURbTRdlhLhtyJb8xC5
C0P+GbycylhSuTs5cdCR+Vxu4GcTHN/E1rHv1+NJTl+kZx760GuZdRL+oj44VPp7EDl8d0fnUzKr
PqNhHrMgIU2y3s5WIb5mmL8gTPJ9NCLB38uIH53DdN7VfixvYmOpw95G787kLyK8WyeGiZ6F2cO3
jVq5axgl0NoATaO1EFlKwa9bSvZOFLo9gytsGTR86DnGKaGbDm8hkhr0XQ/HEXIyrLCTVY7pHqpF
fcYLQPJS2aTYsUh6cAthvMTJaJ+nWM/ordTFs6PIom86U742Tmm8RPx2uXGVLl9laQ0L3wkXMmNH
6fckW2LM2UyOhX9Os9riuaN9cfa0rryDHdi/RVyac5I18sYZsk+hc0+HzDFeyC77nDoVPfTOUh/V
ujsnsHrOc8FwmDR3gQl2tfYlt5ypp/tsSq0jL5U+oD+Y7ke6LhsqEUK86YRWgPbggWwscCPXMVRt
SKNx9enAVbwGZ89FHAq7CjFtex4iLlZe0cUA9UXkXYDpV9s85SJg2oEHajFqxK8QPzKa5yfFbpq/
+XiAIOtytorsZLX+90TlBPXSOsU+rQwhGdGN0g+dJBq/JJHU/K2hj50Hz5sIAwbQVXvRsOi8eFpl
PwIcKD8NlB8nfuO8rXo2b9R96OEy3X+uWdyPaKN4fuwWmnvQguDIaZkkY70bJig97SRN7B4Gt6CP
JpqUE6Er0GSYakE3dvxnNO0sOwsOZ4D/h0DLGX0xzRO0JXahZPLcV1o87gevyt59ZWiwQFhHDrHp
MQkFYMx/MIgUkehfFkI195zA+4JTZmuku4wG40LYO9inTdsB6+XUmOtfGbqRzrqwtixO0XpYKLt7
GplBvpJga59/cC7Kae2otjgpTwRLrf3dFfIBe8060THI35rYqE5ThDurnTojAC78yTTTv0Q6aR98
Eei3MUc2DaeOCpPSSa4RokzbIS78PQo4cMImb18ox6R3ei0WVOBTD0z20PEnckq+V9LHcpPTY0Sh
CK/X0ocvspvHvVnWoB8xklQ0tb3qxFEeZC4DqUbrRdCtTqQ2/t4PrRsmHaqtxjj09Uhyypyeysox
tkOE/Iy3sXuXrKZWveJrCb0Yr3D0+Mx4WOeW1+Ook27+4oEfPQt/2gGep/+xTCTjlszDORCmhDyb
fbEm04NUuE2YYeI8zfwbk7p212is+nwoZpRpMtqYXTZvl5bdDab0uNfXVz8KAC80yuw97TTvxlMZ
ZJKp8+7Msdev61jpj5kVmSdMwXwaG+rbgL8f5QS+rbHi59vdwjIqvca/6atBfXRaCyw4xtAUJFbu
3ekOsyRLMKGw2Sjblv3DSTQX0yfYS7JYZ4Ro5HVsbCQEdxFpuBddDexkP4o9wOuQFARTwGwmk7k0
hjp0FB/d1nCh0s7rAwPD1EdiV2vaPc0mn+E+8FSammlxY8q+3iXK9LgJpbyh70NpX4M5K3TG96Fq
8KtsSh0DgMvVSSMf9okz6ETJsetieXntcyK+hWK3GtdnxBag/vKoJ8LWnuIdgCZwQYpiBtNhb19n
sb2jNbMEY92iKzAXdsS+noJxceqndOIKLS4goEm4bcALVwW4eti5CwE5BX9j9TjKOAL1WVWkYA3l
XTew92jA3kLls+hzxGjh6NfDziS2gsbdmF4jYRBffX3oGaRjYsjrAdl6RxyyI8Z9ltT+HsmmdtW3
6Y2ZmuMXjXjjm3lKsE9ly0sqTPWC/geJKA7jvbXo9mEhC2pbJU15I7U2ui3yV7dpyzA1k8+a9hw6
lfSJ9YwJUsBV95igoZ0Epi9MeQPxA/NWTdYNm/tXza4JRXF56SG4sY5ampDTU7HzthU7jsBFBptU
Bxu8cEvB/aybrGN1crdwD3Yc/xRInskNeG+jipmLaTjAurPafZX4OMQTqTZ952cIR4uCzQxcjof1
Cg5FuYZZ5muenYCoLl20knlbQrQZm6XdFJIpJs1P8MGQrVVTbmRpPHWlUZ5UY5KWhqhDBhjhmpNZ
dEM46CUx8WHUYOhyzrMywCHz8gHfc+WUrgJWZyh8KkCLE21vpaCQTirzTUBggFxH72SNcHA3kTMg
jqMp4rcDrjK/dT+7OUsYZ455+V3adOv0NHaPk+dKEtVnv+2obmyxbbqJfX32XATDQQ/68bZyXDRa
GcKFIei8ONv2MmmxOZoDY1/2nu7Ny0XeB/VUPKjMBFkloe5QIcyRlZKQPo+nCkNzyCTkq+UN5Jlk
yKRnpJ6WrSU7w2F9sXGMd7adaWv2DjNyuulYFy1j3rNODXNTZ0QGDYXX47sa+u3URO95Yudbhu/5
1qCfE9ZuA0+6N6brgXc0GtkY3E1lGYMWENGyXLNc44+4cHXSx/UOB6DLuDorNO2YTjaOdTcu2d8s
h+0bWcdAsoQLtkYBhbNDXMPtAXcutk6P5t7+r2t880/F6FoQr6QGBPeC1sUvxaicUmKtMNMckrK0
TnR7y8/abLiCqqePiS0KNfe2APCcMR3U++vRobLQ4Snd0CQ14JKVjAHq6uQZ+JNng6MO9AiGvQUa
wrNlpP6lahmH5A40vx4GvcTDHtkHrNVAnSZOSlsLANaDibD/3XSIeiWWmwB1T9PduznS2W6jeSqe
15z6tx97YFUJn04ug8fkN6eqPxlJOBwIWjFC+LYJvNb65cCDwiHGuiiKA+x59l5DjVd9PNDK9Fpq
pp4y+3qGhsPYeaHGyv22PrP52efeLGMwPv7vzs1/4r+s34eGDfhLpqy0N/54AFudKuwHfB94pM+D
ILgr5/2iXLKDi+E+og+8++unYb3ZfzhX8jAITupkK67xgb8G5XXWaJexkgXUfwrSKkL8rVcguKoq
qc+ahS7vrz9P/2dPn3Bh50KJMM0/QWarlS5lOTnoAQ/0N7gF3nlpR6BbmPFg9VrtbxFgUBvbnrr9
8QomwQ86V2Iofcc4WQuivLDf66UZ91NHjfPX3+9P52zmPT9oqYIVwnX55bTYo91yZKqnOHXndG9D
5jyTHfW7NfinjgWfQqPCcEzMfMBKflmCA05D1Ls1nD6LypUOM/lyoMCCxkDbz0QZI+wMORBTOxXn
X/9AY+0U/PGOUx+Ya/8HszUuql8+myxNa2zR8R2sTsXRobBq/6JFkf9WDtSl+AtseFOa7T9j+nzO
/RkClbRXFSYYt6CvoQuum13bbxoCONDr4DzZIfFqURDCZMrqqvvWRGtigxYxpPlbx+V/bVa/sVkB
R/LYK/7/Nqurdyyh79W3n51Wf/9Df29VuyCyrXXH5yghhOnTWf4Ho8f1sVMJ2lg2Vl3MVqzZfxit
QG6zCNbGj4ODERPhfxutTPdHE1t3aRhZIKP5v/4Frvav+xD7HvoEwaYgOKjRL//jxkc4Pcs/yZcD
M3kbs8JoVZd4iuenUp/GII6Zz/x0eW7/9sD/HxQet3Va9d3//Y9fFzof6AIXhNLDNydA6teFXvhI
QRZnPsBqbe+ENo4MzFT6m5ftr2Srv23nBrY2ZgC68WMx/tRD7u1O0L9JpsPc016guGru8BsDpHMt
iXRdoXvqWtiSTabdd8qdnv76RwI5/2W1s707AvccwwaDe/xri3LA5JuOs9sf6gKpM8l0mDAKfF6H
0ULwxsC5PU3Z1Hb7mQBhfSOx46zxYKmWBp0w7Qec6ZyBa3KQrpB88y6PdQtu7aLy3Wzk/LtFPVOn
mIXGe3ySGbpBO+pIH+hRvH82/Zzfw6UkYm/ylkPCwZ22jNOQhWY3XzhQznuaFzQVZKwzaa4bk8Mi
+PflIJpJf2TSIK9bnCqPBiO3294copNyOvnuMdDlHFqP82fS8YvoJI7PxVDN+w6JNOdjau02Sj1K
zRWvlNBge0sQdrxSOfMHFayTS0eQwhZvaXTvj27Zh2MnRX3kUlHKxNDZdKailmXuDVJREVm5HTYn
UD6Pc82Bwp3qBBX/sqKbfNRrxCxQh7ppe1cXoxlvRgTFAYovdK/0968WeC0HwkBUSGJ6e8oHo7kj
CCU6LQhR8R2jkmr6ha9j9uNzRsLRc5MtzgN3x9guqNu3lcHxZ3Cm5mOuyXiPAY+ATazmp6SPamTj
C3cGy4E4OMpnDSnoVmZf+RdH19JD0zA3V7SMn0TLH0FT2r04tYd3feLg0sSgHwfS314wwVWXqeZ9
UJYeV4QpJpN4q1S0/ZxhwSqPe27bSQ7IqhqNLVl1+b10OK4AoVwJKPiLrYj/Gue8eYI4M5b4gBEP
j5s1NB9Tx3JmLDDvnXQojrXHzZ0RfoXTABY77MyqrbbC6YqjRHNKUgWaHxfMBSyiKL/nqJ7vHHTO
18SZ24RNxuP3XMwILvo+35WFEGwaev3GQXR8jhgWX/nNyF+1Aq3g2HsbfeIX+/Bkr6N8XexaY99o
sUC84fNbHCtDB4KENxjznEfxBzeL2Ol5P6eoQGOLOxGNPmrmihZESS4TTS9y3z5VTq6LW9A4nmg0
c5QAm1WRnRxF946Img/bF8tVBRfoyVCUkEQWAlFom3xHyF3/je4Ux0SSKsIkLrBHgWQNupj7mNGF
J1Hrh6eZsKC55dcv+Yx7ucE4wsGhnveWzvPf5qN8LWIc5UWXvyqtG0johd4Qe59i8MWIJp3GEJDu
0jgmnf0myPX6YkTRgEKdZ3OD3jDd/zjSWFbxZkXuSCifKwm5tnko16yRKeFGOci+cCZZHAJI3kSK
r+ybgWr9sUo7aOOwgt804NrbHxSx1ojqN7O053NmavbD5K3JmqAh/MCrVP0ek/lRBSnUG8JPQIn9
+HHeKhXsYJPcT7OseiRU2XKlvLljCq/l93NNcjA2S66P3uvRaSoyyJdKpDSeDBeUFCa/vT2lpG4X
juA2lfnA2Trxmi96ih08E7OLJtQwm+veMWLPoDHgg/56xTqp+o8Uf8trqlfw1A+juVTIpPoFMYEp
hBqu5kbBtVSwx617M8fJ01jT/IS7nVOoMyTVRrenNgRW5ex4Dm2gXYzGiPWceramobrGxGRsep6w
k6Xlt73otDtgrfeaPVxbpSx3XuLad2h32Dvdybxu7Ri2anRNEhl5ri6LiHZ4ciyN/AkvHeqONV10
sEA/eET9cgD/lidGedSq+IPs7+SYLBy3K32Ql7oc1bawkSuQ2Nh/01P8tnHanSc6rLtCtfppWnI/
1OfWDQrXjkMIW+m1BcX6irDCcQ5aooeczMMIJZswLZoKGrEfNUfLEAXd44mgORHbmzLNR5LWiuIz
hnXtbSCfgEZDkxn4VnU/V266NQCznjPI6ledk6mdk7Bgm6zUz+nMcXOA+k+SPTeSNrE4CrIxDyVG
4wDzi7etlYbq2vRYlgi+kRa6MjA0nITKTv3DEOsPyF/9nWO5BBNUIMK3eEj6j04q5QR242sLcifu
4SamT33A/EfEua5IQo4IOqOnE9CxHo6x8pGbFj7KNztymnCOug+zVsM+Bi5DZ7lJvd2Y8JpLjKlH
MO0095yxdRTxebeLxyGZQCFjAvG96c2zR87TeETPFRotRN15/oqaqkaVMznznhRepO+uA8GMiVUS
uKNlUiGazR3VGeCSAbHBUbK/inBmE8Hxl0uj20jW1ZVVdPJMYPGyrQ1hHI1JdqGZJKyqDm8rTegK
AzaOJAT2yHmnp0WZGTI8wkG9roJ3FeINws7YOsu7hCx+NOZyeZSZrONA7/wD/l3/WCL+vE1zhDQj
UMJTXkoUUOQl8Lijwy0UgvHOMq07Fx07xcFMlyNuVYlH06MpizqfOIZlg5CY7oZvZl9ch9OyJ2a1
s6J53Az+qO2aBD/MEJd3ha7xLkfreExTc2JmMY5hrMVI57xY3xcpT7xjImH2xina+iqyrmq/ptWT
K+2eFG/gbM0yn2avHaGk2n5ChrbTlt+tGChYtLgXf+oNB8eyQtJb2IaN0DfJr2S36EeZlESdwm9v
z8USmaQmuNiSXVu5GbC3ojsnM3G5eHoz8V2WZYm8yq2cCfCZGI9Lg8UbDXO7H/TCflXFkJJETcv6
YqEj/yjNzFkpf5CqaH5Vemy/+kTHHLCtYTGGiUbincZheOcm9vi1znRAfoVa6wLZ3E1TX4REzVT1
1mO6c9bwHjKsn93M5fErk2Nrju2FeXdtBcwGOtjRtZ0epsqLuiDDgn8DPzw9LAynvxqS2RPhvXO+
3hsSldYSCWwz76E1/juzu+rC7MRmc5b9N2hpSgaxWmdOIl9ZlJJd+LMqCgSNsxbdSyKKWQPkml/c
SMgojG2mcD8Gkk0i7Zvlv9g7k+XIkXQ7v4pMe5RhcExmkswUiDlIJmcmuYGROWAG3AE4pqfXB1a3
uipbt/r2Qru7zKocggHA8Q/nfCfLjHujkZIfl7HqXhdZAW0cLz4eFRRnW+FN8gOp9yJ3qctFshbe
zrOmKvy9+FKZzVTemrvvModcubXdlJ8PMRzGzmme7R1lqPcwFYqybC0YYQ8PwDFZ4KI19736qmyX
5SjMjnF3M3IYtznDrUqSR7pNXWDJm7BqjPs6CfVzZjvJFyzk8CxdT94ky+enCNVXmG+UpaCD1kOZ
xPCffU5NkoU+5Qlif+uWY7D+7kivGbZG4g28tQeOSkRouAxaPg751/MhtQz9jL6Na2cpA77LJ5I0
qbz5Yg6YCVOMgtsk4V3eUGy9StACrFnX8hcexKvfY6SyO34EklCsx6Ca5p/BLLPDtMS4TvOM4ADS
4ucNBlC8Do10ylNhh+ruXzQR1j83Eb5jBzSNzKZW/cEvvZLLgkqWyGePk+IsmXFc5zvSMeZ9M7MM
llk9bsMUmNVABscxA7awNyz7Pcjly1gnzi5zeU0Z7phstaya66G1xSt6tvo6W5ziYpqV84YKMZ2u
0UjXw6VN04BMQavYshNb9tnEF0kAR35Mwsz9YjIZ37VTRZ1QsvrjxU0e4+TMF5FSRbVKjxjCuLI2
nOn7IWm9B/y4888qSEwX84gQBnsi7m1PeNQbY7Na1bhxiIyjVqJJoR5MCn7TInwufUtoPbzWtUaC
KKvu6lKt1zJkAiwKCqmQwEHWP5n3IAg33NlTDNHRscCiw8HbDxatXoKJ8zlZQCJsmAiVb60D8+fc
l4s/XKkY99fLmCFeNaaun3ZuUqRmpDGmITB3HFJe2si1e6MTW36g2n7GD2TBd0JrevIxxiSnglfJ
FlE7/yGmkMI/1kHMieLMs5BOu1Q6lxCqx3cAz5PkFKSWas0URGBMQt7AmiVsdhhTqQTLiRKKJbnJ
tJziijbGPNL1cGsHonsxc0p8u7bcqHNJs4fQJAlLbCmYg1TIjznX7KgzuP3sfQPWBeNyjIlk7Ldp
7elnTMZvfkvdvmrEXoOxdLJtO68B4ut3FxYkW5+XhS+fh924b3PbOa0MoTts7NkhBjdaR4Hbl/Ak
g+Z9Qg/9LmaLd7Jd2thNWKPuIR1gdh746mdlQiAcaba8su5ecC50L9NE/Io59c1bv9bUrFhYiUKG
HyOxlLAx5xIbOPAE6KEdiQl57a9jucy/q5xWP5uWtneEDDbvbkekhimobKVF17Jt64Unr2+s7sXO
aeSxAcmb3s+guMRiat77uA7woPdUpLEQ2PQad+EZ6chsZmdg8T97c1HfAAWs6TyQEzuq8o2bieUI
DFWdFbCMhVcRj/oUrkdXCoJl784+jXdlq6/j7AdsFGlvO7yKV4kl2zPxAvWVl/DFtRxcBzSmLvue
engOCN/aID9H57B23iG7mJsKae3Rz2hPgrFefhKjmiy7LFjka+FVt8Pkyw8CVWlzTDf5YtXA4asx
9SJL8JfWxlqwrJ96gkEJQyJjbYlper0GzlierPVRnehkeZEU45Y4ZvnmKuIyprbKPXwXkEP0kNGR
rujhbDJpnHAHqjvUAVwZ4C7ctusZiB+GFSo99nwpCH9D1d+O9NMO4a4MtPjpSn++LAkZiNPAVOPz
NrQnWl9ub2UeJ23M1yKh03S6Wd19dtq1w+1TjeybPUjB8F7oPkpwucxDUdaUAckGOvbc6LMtMxKD
r0EoOgoGPXz16wBlyYJ5X+CsYZWa/myDZb5eeNzqaJoTXgLjxAwiSJgamMA/70FrTGygGOhSH/Iq
1Oh5bpXGMJYC40F3zMrtNC38RCY6M5pnnF5RE7KftmMPrUlSmG4kNeCWMOcWJKnVGnc1vAj8ApX7
xS4894EXjdkycBi6F2LNmMQsolBf8bswoHD7UX1Lcjrdzuznp9rgMY/ttjwZa1PruIJjjU6KqNe1
Q14zf9Hyw/2N6gXX/qayabKJjJJgpvnnP/tmn10wPkRmZnWTsgA1jR8muGTKFEJzCF6peEmpzsQY
+nlrkhG+l4KWvF4RwogB4JCRLrNVSFevyG1WXxsMOEfyfJll6LVGGSsn/TIIKtwoMXsOd2ja35sy
bN4YQLNsN1V4Nfqcs82Y8hWmrmpxtjpckALGxa6jbN11HmVRT2go+6gKNNh6DHdx013KrmQSBNSf
WqNo+eNhr+ZLBlz8MV2njaNCNbZZKIzfrIBbQiy6+64VyaKpFSdffC1p19v1/ikEhRcn0aYkAIpF
Kj/iZ1kRhEymkqIu7qtxoHsXvCY9POaPn+8GxPHtWQdAyXyOfPp9hlcsucUXPzFcXhW4cK5UyDeM
k9R+HCGURGFFKqfXUIGAUsE87uXWo/ScbpNpLiRi4vI0l2Z9xaq0vnJtHpxqvQYp9dJr12EI3qN2
oiga8bnbIhme55HyBNdCcGU2pU3WWs1hyzn2tflMwfJKcmdjjv3PUQxhFuIU2GR4khgzEr/KIKPj
NJER5WWxT8j53KtmWo66p8iseLBR2DhMn+BE1tFsDs1baRsMBkdmdU4WU6L1FCyOh3bFZqi3Ylq5
eT6P2cnn26BjZ//ViOSFbmom+8Su1joOH+d5ah2Q6DTLT9KnWjKWkVZx6Aa+TDC6eBV4jorQ4a3l
DZLa2uFeM8z4fhqZU9jlBKKuFq46s/hieLMelUj5EVUUDoiTwC64lMDChwTMogNOm3KXVpVnsmUq
WPf+fO2zW3l0lK9/+HU8HXo++qZWBQ9uFlL8EYcrP9ChUnKobilPec1DBtCIPBi/fhsGl29tIXfj
hJyHR2WAc0nnCfqvHkb1laokBxw0kV6LeqIJqVu0m90QlMshi6pjeG4a/NHhjFxv0FzwOYBRUtiM
Mj9/+flgzlXOK8awNFTykXcqnBtxqhc0h5MNwrMiioy87oYHOhPqnPgrRWBwubOF9EE4wS1drqW3
UAmP/ryfkEBrsTQe0eE0Dp8DOr+Tb8KmIxjXKmCeFKUwfhENNGrgJ4bnU+bjUQeCHLok3S7rBLyn
kd1pl/xYuJs6OMPEaf7FBs/6dbm2jrx923cc37Vw3/0KPNSNg042V/1RZAyHYfhq94vv9TarKsKB
Z8HRloYU35gRp1s/aapd3rnOkdzrNxi19C61o86dM8yXepTqq9ZCfBkye3riSFj2f11bW+xP5B+3
ceuHDZDLE9HohuhDf9nGBT4W4MFwOnzgsEiHjgTsGcZ1hJERXKGmMWFaQSFqDTRFBd6rrcko44wK
E0qSZLT6ebH/+kP904pwTab0bUxrfChf/NNuJNHcyRiqumNVOQCjgCDF2w7FyNUy4opvYcRs6d6X
3ew4zCZizZAtRwINu2nt5MRQ3OcjN5VTepwGsdt8h3jh3wXw23ecshSGBmYorIKusf3rT/7/6FQI
oP28+j4KGoYlf14jQWgomiQx+mNi2Ooch8xtmNxTPapctXflOnxdoLZuB87Et27mLVKD8Y+BJLh/
273816ryX6wqrdClf/yPN5X/uy3e6+7PTMjf/8zfFpVBSGKI61HnsHTE8vqHRWUofuPyhp5n030R
97vabf6+qfRWu01o+2y52Lfx8P9jU+kQDmzxu+le/d9Bkv/GptIN1pvoD8+sZfG30Qu7vmUBUGGx
9+ebTGXKFtLWAqZxEETaNYabtkZwuBA3fy4TMObLJ9G8WeHm7oo5dwsB8RxHxnjfrBh0jX7wvURo
fF24IrxZ6th59PKcNtCDdbtNOuHfpICfYP4P2WO1wtYLXqinKvGst0bGARRfyPzYIdjLd+pjWIHt
0ye7PctXjntHefLNlOhfM17gaKHh4Dy0HfbNcMXAxysQXlM5OKQ+XDeunaFaismMy5F3WUM3nuqM
cVdUGR7p6itqvvqkzsfw5+FmlAdZBuHVzMwDhaA32XeTAesdYTADrxVjP38S7QdkRXuG8+XBWoH3
VpiFNxYDcAsb/HXMeYaLHOH7CsqvlViZ+Uo6P6GD4QxekfrBJ10faVt/S3qLAKTBCN8RLhz+ds3R
c0tTfh8JgiQ/0Ck2QEnKA3KS4om1FTz/6RPtv0L+ww7c/7iC/801AqC3bP3SrLEAvU7Hu36NCoAq
MH+tW02c1xok4Mx5C/Imn+5cjy/HxOu8V5/RAxMhBJUDYXuoE38vh3I4kBbAj5GA0BJrgMGwRhko
eNrfDdINMF7PkUPegU3ugYgNZt0ZUJBiDUXoAHdVa0yCERinsvAJTlDN8oI+Qx3UGquQhHnDvK7P
Lr0nxoO3xi8w/aturc9MhtCAzJ+SQwbsack1SpU5f07AsyFqhHSNTFySdu+ND5Ky4jFEH3e9mAwl
kXlR0+g1GiLuRcewwiwfRCPkoWKNDMRGNaTITCVT0KJ0nDsG89l1kohlP/s+EDRDYg4G0GgNbN84
TTPellcsz81bZMH+uflMs8jXYAs9TezbPK88zhOxF94agFFJL3vVgZ99JSDPugEW4d5Va2TGtIZn
sIl3LvYaqNGu0RrE43WP+eKEUEYofKGl0w3GjPLD2g1ubCXt1zq0vGsMCcUpszCUYIeGj1CtoR7j
Z7wHIHR7DfwYGpwzBoZfnRIGkmrm0YS7ERFCTeu/K1JDaE6rUzJLAh5JRzg1KhYINRln0FHbzw7J
I/PokEFiJMJ+9YP6sWFX9Nytk75lDS1pPvNLpjQ2zvhM1mRM9E83wNfIOhnX2JNuDUAhGIgsFOE4
4bcsDtJDvUalJGtoSpAR54YUt92ZyCYvTFyq3bjGrKDWx+AuyurBd7r+AwPh0G569uLocUCjE9XS
kNlSg9JAbeoDiszWSBdgOeW9S8qLh7P97MVLfRIFIttOYi3QayxM34TATd0q3s+Zo7BO4XmO1yAZ
iaH5x0JJFzkIP6NlDZzJ1+gZnwDrJ7+W+KDtqom4oGTUtClEfuVZ8tZop/1YEmUD3YpUG7Jp3T6v
CHMgegSRCezG8m5Yo3CMGO9AAUr6Ll+DcmrynLqoHMGrECbZfnPWLIlYmNvRnHwIQsTtQKnUqHF9
J/hKBa7kRn5m81CdMgtdA3tgoxYHg50b5MLZJdpomDw2jsYI4zKe8UQvXYcMVzOtDsPhKVlmtttl
EUr2sYnimOtIAQpla14SSdDcXMfmzrKMrwSatMFqDGaSWYY+zg5F44jKNyqN7KUIRvNUmp1JVhBK
aRKPm4+SnT84szS8c6vAO3WdS++/UJbcZb3BUpt6xAWW8O7lbP9z0w1uzW7ld7JaNW+GoDGjIF7H
KnZQervKacJnZNHmDU6M9KUNANPQ92PB6L0jb8QlwmE/3GDfoBEfxvyqQ4QRwYBija9Fe9vnsbpm
1qKejTgrbz67YuZVpLOGDYgQmxmNy0DxpRgr+wh5y9mB8UJXPuX2D6z3mtCGUL4LWDAZjeYivq6s
9aeePR05G6xWkWuHyUEvKcjGOQGmZ8XprWUh2R9DyI4D8PsHE5EsocDusp3nnqZ8soML0ygXx3+J
kMLx85EbDWRhaNCWcWWx1ECh04c6m/pTES7yqdTxIbMYPBdzDOxvcMQOK6FJW8gELY+0UQumndPe
ow25sYbEPocWFgqgzcV2tD12xxav24xH/EIUuDySIDbBxFVtyKTLy7ZVPZpfy7iNj5xM8HJ6G22r
597ivDO+SQRQZ9kHxr5K/O6LldXlycXXwRQ56e4YjQdPyRjEe8tU5kM6ZIz7Bj+GNDMboFpTn4jW
WX3U3TJ/MxfN8a/bfmGONAm05M5oUZQie7U74+Iyrhv6DSGhk9qAOnErkFu1NhHyY8m5Cxyz5d2f
58mjdilEyAFXJcREJ+zvFBy0Y4MoHoEetgrgzEiLyA+IA/UzxDF7GkoAomIajavMrnZzUDPgG2qM
ca5+dVk6r5Es1POBHvVH0Xuvbpa+m7H+6ZfLa9BM9zA6qoheW/LvKSaltT/viAx9tFUizzL1fRT+
hf1c5GP9DZXl9NLG/EFitQ1u9WzuifiVCT+FPkvVqaE/lAhaFu+aUqtOUI3DvCXU0256sfOaLEWd
5PoAJCYd3CqGM97Xzot/asJag2M5YMZ5NebUlntjYBjC+B6IMlXPocLidZ1JZTSvkgOU2iscttYU
M50omMydgzXTtRtze0uRV1ysZK7PYCz8V3d21Zvpx0l+G09peWEvZ7WPOl3S+FAuBcQ7UhTGpenI
9HTz70E6dcaTq2JoX1Y6xOz7jaxoTmqludafXNewITXD615gQkKGnpJyi2CFjM9EvEyEYB+9TKJR
qHp9w++c9mHpU06WKRlQ4kqHYN82JtGvUIx5yxi0iUdqkad6SctdikiKoE0gtKmRJVcTXuUoqa2Z
vDc2ai1X87z0GAjYibyTaT2f2xBwXycMfbDqCUymXsstZ7GJi3Gd9pIR5RXvC99jotDE/TEgjiIq
VJAdGKCZEdJ62LRpR6SowZ5eJD3Uw5gQg8rOzqCa0BmRV0G6uERrBaFkTnz1ph1czOBr5kOmBnxS
uBl2DA7j1bvSAEQTEhpeWvAiI5gkcrnMR21KpumlXR1giJs/hY5zJACFhMTN2NSxvntB7QUv6/jc
775p4avCfUKVQsVBVG6ZkY/12Zr8VxP3L5o4Gyk8bc9/3MVdZ3X9A9DH+58Ep7//qX/0cYwQaMRo
YVYT+B/7OP+TcoDk02PUYFFD/98+ToS/Icdk/iBc3CI84Yx3/s5GcJCphg4iRxaREN9o8f6NPg6Q
/y+NnAmIDgicT04MH9C0rV9M1Q7T+KoXtXmpec5SpVlreMaWtUyM/Mea5K4QDvOp2Rlku58Mx0JB
hCDlx0RpzCKEaA3guPCFmNSJECyQky8v01IK8QzkhDHZ2FkfLOCSp4ogtShLPPdlYAtEtFDS3y4j
gpB91uQcvA2Wsetk5H8SXjuF8mDkaXGEzlhf/JyRKp7cu7KFhgWKJmZ3jDAMiZNn91dDjsLmySli
7V91y5qzRKk4Em4jaFK+58vcbkgKmqKYfIENU6/9MrMXX4pu3jqt6eDIdfQrrrgR9YpGinldOBnD
cDxRvuQ8cN0HJFeVFzng8iGXlnH2ZJGjvElS1kVRC07UOyEdZlHDSOfBE9o+dT6AMHvKv5cKX1fm
Z6uUlGiQzTDY9iG3s0fYfsUtxU+cH/ktzjWyBprPfmJa3EPvh4KCO2LXW8Y7sUTAokxSZ1jM+QbA
x9DZKdCm2M4YnW6X1FfubsFudm+ZpXs9hGvCXK9966RJ8Gku/RLGz0sV+A9yjY1p+9kOTtjZHYOw
demW7AEECDS/jfOvvFPSneHYfgT0yec7oBFQeqrPXtiUFypdvktdwTxnXA0BHiHYeGE5lgQ0BDLd
+Zm33BMfKTLzECdACAoLKVHfEpRu9+Nxzsel3vrBPKSRiFW+D+Y4Pgpi3r7KxWG1t3TG8sg7oBS8
IbB8HIVhBuVz1ga6fkIzh7abIpZ1iLEbkSkRqU4AxGx2J/YV4JCrvHQz653MozbhysF0d90y3FWd
iGiTxM2CG2w3EfC1I1XIOmXDch9wWO8QzOCsK5oxjzIXiYxoFLxdL4SCpZk3bgBHOURgupCY0cgM
yE0Q89WG/1gATCVD7pTo9tqdAwhVML4gat4ItQAydEkPmKr4TLDYvoaU+gRC6m7C+bLh9QTZEMrt
BsP5q2WOy973s3gfD/MDgfXdSSEB2CHFyK9UZZgn6Ypi38eKks6oe/icQPg6A3MiievZWegS4FPQ
IJIp5+VkKh5Nm8CEp3C23+qejCNlJVDeUsh/wJGGfVP7fX9G7Z6fumz8aJu2PBOvmlyU58NjXSpz
h1jm0Bhh1Amp94I8ogLQ5TarjDpKlMGrUzKeJd4q/eEyIWdnjuorhs1GZ8AiSbRohhD0o4rQc3JV
u1CbO9THB+bHDz2M4M2Ka9sMthtHos2tWz59fsnd2WjJse7lCT67/sFqYt4GKWmPPg/bUYEpwsfp
AFeEG90odapH90E55T3IwavFirHkahMR7vKYEVfYmF14puy47+jwahIhtrS7uwT5UJt4aRQMYFSV
OgTzdJ2j46MK0NO+lWUPHorKNInFs4fDczPWBCVYVfmjFOwWbRiloAlS/QD98ToAkBaFPbsWRrkc
gllwLSS+4bxiFIKUxKKBscWdiUJyV01tDRxvGLm3ZGfVXA/vYHcVrFMIVcegLb8tPhw0JG/hmTgB
wg1bB71P7OTQvfr8iNck3fJUWHfETd0NeQeWih9qaeqbKRD5e7meZoWOfWDIOYW0lLa4z2zQzI3s
04gL1u7lJNfRSPrVNDpkbPb0M+0BFFLSYzWkftigmSAMwojDM+4fZ9dxrN/1zsj6dfHCU5H797HX
3o1DD8aQ9wpYZmP0ow4o2wvnClhBqn5SVpw+v8ltPUSK6ISDyYXam43SN27ipvcO4NrrdjLvl9bo
tyKvXtn5w1YPNc7Virw6SvApl/5mqbv7DiQs39A6ZDfzPZoth4/XiHdCAdCZpLwdVBwxwwhJfegf
S7zce7ta4gd4stfyk81q9fkTOXVPLuqZTWkM790SfvUShIOIdrmPtUQ8DZc4tcc9O8ITHNRDaOcx
3yLhCQSsqQM5cd9qquOd2y7d0YQyysCk4AYukMFUzCkvrhqZc1jOvQ7lFekGz0T0IVtgRWA2Yt5w
0u5AD7yJcOwiBnhgUDlLpRHcBp1z6LJ8uodnC6pZ0i1GHKPBWxEn1tfSDbxt6/g8agZ5ZLY/XGPv
3A2qOPuB3e/dQdmXFn3qRg0yU6SJNmlUzGVwwE27nNKmP/YyPw9ZXBxYr0GmDA1Jqpux52UGDDem
mw9GtAvkkGnxTRhcL7bgRnBDqKC4S6t1A+y36hppH83cODQ7ZNHph8T/G422vpoyxTthLJ8sMRxr
xJkhAR5bGuJwZ7f9wzB3NyBGqm/DVB/DYP6a+0W5G/h5QAQ0RSRcP7sMM1oX7H57wfbEjhLXXUjN
FCXinVjJLY21dXEzN9nPhjMz2E2c17jR8p6NZVFvjLav5S4oOJmGyqlvE2PAV9q0KVtb3msQluvj
3NBoW5ZFGKIGhGgjpogymx44XPvK2DGeQNytr2cUWo0XElbg3owAkZ5JHaq/mIkcpi0JZgQCbWbG
jPd1bgSnsCtgjg7Ok5hM+WGAmgY4XNWogFx/XCfLpTW2G+IUkLvwnrV3BJ9+q4zh1kp9nL5i7O87
t74dawOcdGHcVXOqv8A8eoFV3+715JGDuXgvQSfKx4m5tW1Y/c7ix9vaiLDeOF5huOH5fc9JRdqN
btyeHJqqXd4M6cFjf7sJAlmQZQBOM+uG15Bcyl1tBsZ1MowE4aBg34RDF/z0NLpn7dJ4uKlTvgPz
nh9wvRMeo4NXp3AJowsq/5k9c7Y1Ys+MAFXkjyhSSEUaze4Q+iV+awd8CckbPERcsJy5ukO/yTyP
55qPl7Rdtavy77ItPmbTgKwY1sOL0xFfEer0hs0vyQBrDIufSwtFFQ0gQzfZCkYhbXnBpgoklUUk
NUKdXFt2eeyLGHYsaUE7rcPmnrAGFgxsk/UdovHguPieejGW8NgwSHscGA4x7slCxvwIVK+wTHxX
RfCN05l0TdaSW93G+gk66YVImvAgQ7gF7mhkO6bHvCCy0Nv25IdEqWubNbmpuX1TM5eMGttVV7nV
LRuo1fNVBVvjOBLQgRxUfSuTyor0VGaIJeVgPXBAdtPO0U4ZbLx+TMuDqJNuLypR8PLqwAkrP3Qu
iQcYsqQWfF7JBDPSpTJYzdmz81CljvVRl673IbIaUfTSJwS7pvAJrJKCQfOd22BBWF6j1YTvcvb1
YjC0wpnt2F9iGhW62pEpf0zsVbmtqDyiFH8UaUVVbCFsurR69PdEIyUPoUEhSgJoGUYV2qk2XE6e
PX5vGGYfFCvybdVLZvlsV05x3RCrMLkEIwrzwFU7u7kgdTfD1Fo2oDsnod+GXkBzWCS7DkxW8H+B
NbSx4v1XNBijagZZsYRWHFjl0eltsUlJAzrX5riLW+cmT3PnKSPt81BKL7hkadVc8p61e+GHD/OS
7stBtfdtOoiDaX0wQ6BgytF+gGp9ssBdbkgL28LFdSCySMnigTyWIaeB9+Z656vyCEmddQ9S4k0Q
2lbUEOgONmvYgqxXHCeoIUQAJ4SxDeavIn0jrf3Ko8DfE1RgbBADPmEJb3bQ6CTyteoyMvDZ5lZQ
bWlVGLP2BqvYxJe8E8vm1DTiPhwrcUAw+62s9VMjZ9w43nJHgoFJuewiORhrtM2y37LVgAwr3faa
6fKAhoUYebwLHYOCqnqa+q6KbEQr6K4MCOQWiGingSSVukCW7LxpropqeQJgM+1xl4RR1sQZSaIW
MyF/gdPBXT6VHlHNn1TlIH5iYXUFOkPctGBsI63qnxS/6EnSbmflSxOlBhTkSQxfJuQF+6XU1VMr
8pWFqxPi2+uQiFKKHdzx7mY28vIahxD8bpBXe0yY6gbI/wc5DwnhoBO+ZiKK79Tsw5zpPCuaS5+q
x8J8Div3hlGNvsGcE1XAQyPmeSCBhDnfQIE4G4zMmfY3Du6BYdj4oT9eBY7/vaHfQFL/agfLeyIJ
VAK9SZY4r2Fm0wznl1McFGSnGcahTH8aYHM3lteZV1aXy6Mq2luVObgWUo7HVDGPYpq5l5L2drBb
54BB7WA35JU6eX5B2MALNDfB9gRPiDqcjZMt75Ovv8U6+Wiagvunce50f+038VMzLD2qljp5MwxU
pRq5ErqZJUoc/woY7deAyO82DBuC30C449Fhc4Qaiew707oSQt7lCNEjo8vNqNcLGnpwqya8EhLR
kNfeIiAfgk1RTQuvhJykGJs3gWKCJtP9HATdqeUOfpvb9IeDc2DjxCTspI4NwnkU2EKQj1WvZUN+
0C7LrOqGVxYRCVPjlBR4DaAbzHjkLfV2fxzA/65coYKsUpKNyANAUQsQtZevmNQzjGDg6FtXqqdR
B+VpQAB8oqouYHWl9UGENTTomYSL0dTevq3149xiEVBN+CUMdH5bZ4b10806fVnSzDvje2mPYESL
s8ZpsXdH0T4KsKjboLXf6eHz66IWNPiJ+QWawYAMqkmunAkah8bpe437H0MEgYAHp0GsnRPLsx+w
1e370EdDx8o5dur6MNSO2CYT9pVqRUFkXZ9smW0QueaYuN90EHkyd3YAiuMvHgCro1/OH9iPwk1l
+0ioSr4xitrrWpf1sc3nk9sOJEyMzOIr1gxNlxJRUYRvGGazLVmIDrD2lFhrSUYyUR3Ldiz467sQ
agzPTuIB67fp+vdrWgeTAXiz05TviQpEDUr1wY4rj8qyGvYcV+6O03zm0rv1jlxowDDyC81UcM/o
XhxohZm4OFP+OhRhSCUtzOKaVzVvoZFu4WbuwkvdkbwgCUrc2rFPfl3BnBvu2KaxbAWqqTMRA5fZ
sSvEGkYhWYv2nXkhnrgH3+/8VAsesRAu0NpbEEF2Y3G67ybkxLd5y2VsCtSuYYG/syxZkIwG1Pgm
67cMWIFni/yWeTy5TU11nXj+cxOE3YH6WkWT5PbvpmlfW+YhGZl3lL1LL0P4z2qr4K8KtL3Jsv7H
0sg7r+mvZzKjNi0B6Qu6e6YM9Fm2U7PHZyc4kpUCIotxjdNFJvsd3DBmfEybst2h7HQpWubzyJMa
6dVqYeqeM5IROKaw4WPwc5KG3VMg1C0yarLmu9ne0kJeOKKfZTzUuJamHa0Wd7I1+1GPimDD08Da
ytL2gYxfxiik9FSid06ttJA2ELue690ykD6gFL4tGp2lflGCOILNOI7B3i6tR87Oe3tOiFNKhn5X
eCOdVzBC6aMd7A2TBHPUokwEtlacjecUSdDGFfVHzWrzLk8MLmTgHtSoUiCDzvIUWOLWX0L8hdKy
0QOb+75zfRDZbe5FFMoGonGf6K2Y9MoqTn8ElrrpFvtSBN67Y9l7Wb73FnmNffCzXUWJZgA2fYWX
R10VbhUcfyuXOdlPw0/JwoMVYfFGyl26U7BhohUbVdgN0QULRGN/YXO2JSPM2qQW/GVOrbe8yW+h
jReo7nXrTZHE0/8FMaV9NqjpJegFQjnHgaZ8UHPLb+JNLlkWk2go1a7uphUy3BNroLyLxF2HBDHy
8qmiECtKvWeKk5x5ZbFUWCxAy9hslIbEtrQHgREuRM0h2lNWqvg24FQjiaWzWvKy3FSlAZRjkNuP
BtQaEsWDDhlhS2p3GzlWyqjNo0eYOT5szbBfhJZCmc935MaSmQMSbPNK+4H46IrJL3o82mHHxOL/
z7z+8KO5ea9+dP9jXQR8o7jgnEv7//XnX3a//zr50Wzf+/c//QIEXdbPd/pHO9//6HTJH+Uv+tvv
/M/+z//24z9FKrasVRT4V5P4b2mWvNd/HsR//qG/D+Lt35jmg3fhvA/BNazT9vFH1//P/26E5m/C
DJBfsWz1TJd4rn8M4oPfLMRXNuW/8zml51P8fRBv/eaFrulwuSz0lcG/OYj/BXoD05SB1hqNLQJT
CPPXeGw1sbRXZQfsG314r4iIq7Lp2LrIcvGo1B7teTpXzVVeWMYIaawWJzxBqUTmFEr33c+G2rYw
SuYrlcrNvc+ht0D9c0lsZbDTj2uoKqruwBz84Zu+/WeIxKrO/IMSzA4EHxhFDJYoG9Dzr5886PTI
ynhpL3hlpnsrJRzBhY51NQ++iV53Bkj41/+g86v4jH9SID9jO4Is3uNq/iI+M7LSkQbKmAs82qum
Z7QTlQOQp0MucDwylVaGOlqtif1uVKGaqLN43ZN/AXJm7yap1Zxin6J3sww+30qN+mo52L033QZ1
hr6qqTWcvVUGX9pWvxwE3c0l76yYLjarcf5ZRdx6DMdVtaxLOwyMCZV6fjG8YbovF+RAtrW474wl
2JTmvOFY3UGBTHYt835Yb27MEU2MGDBIjysC06zvtN7HHCfXM1Fyjy0UBAWeFcpP62CZn4UR8obq
pXXTEgyZRX6SzckOTwzpvJQi063JCBv/dZrYjwg24Ev+H/bOYztuJNuiXwStgIkIYJo+k56iKEoT
LFIG3nt8/dugVN0SWU11vXFPqlVdIpEJBIAb956zT6QbvltTx9UnA1HRdaDYzK5GK3LZgEqLOo0e
wIyW3qpCyviMT+RN0j7CVwrHDzXEDlqflYFEzYpDszmzCljUl3MyUKYrPanywUJjH57ammQhHTQp
4TWWlv0t3HZ09DatxY/s5Ebjs221nLmoGfk8E+/Ngncf9Ip1XzNQZipjcOiUBzg2yy7h01lxD39i
nCu8WQYhx+HiaQLkWtT5Yp3EUhyt4ySXjzHwnnuSpb37vqv5cawicOyqSN2EqIXmNTMiTlI0MdNf
KQfI+QMTm748OLPIiH4rErsjZsTmtERGivx8lChz2UoWXFY605Z5FsywRk/zckn0cnK8Kkq4fqVd
nHmVAdIyYldHnCd9o4swGOYbw6WqWMElHQ+LYdHFDRXRtGlImcAcgdserpvSg94QA5BSnehgQ0AN
vXNrGKc7FNrtJdwhkHhZTAofu/gOVkBMa3maAnVv9Nq8HPoyvbbtJHi0BmwXMPUcl15Wrh/zIOk/
lraIR3xcLNkQ5dB1T6vWXYfxglLLUj+ZTtaomBBJEkXuEWQ17Y0Vkf27kb1m2fTkJBAESgpYfUU2
qbR3jQxoghG0XNnmjLTZDcmIjVmR1hdAuVw74gedgeRbpAef+GMWfy/HYbyNMmHexSpN6ZEErJEG
W0NHxI1n3oFN4fKkDBTUChUU1xavHIlEsybCmjPDzaXjnJsyKYvB3zVsYJqHxpfjrcsjvt4as+YE
R2Q7qn2CPeBMAgcg1GxswCz2MVa42LfGa0as1QHxwjSe23TlgpUuuiX3aEzimaQHdsJbKmrOCz0X
7ErUEcVZjo6rvktm9ob3Rqfn6ry1aqO+nkZs17sUEtrwYSYoxKMVIbLk1u9jPKE4oGm99rZ9nPuF
5jZPGecSlB/nchRDRLqNR/VMKcNMzCcFctw5PFVCVCAaw8TzQk7YebA/xzZeb1S/3BRtjR+EDhtO
yFXuFCRbdQZQEbjjoXoYUwrfq5jM8gqPFfLLLxoVzWWoCBzEbJ9xTOKW4vGAmqOOP9dmjc9yJTsY
CLbvtslH9B6NSeCKP8v6qshyVAWUVjT+tzoN0N9ZiclvQgQcn5pKc83btDYvY9RR40eXwMfkm0QS
aIH+nEgj3maC0eZVxvtnRgLWIdyjKWQtCapFoYQ4hpYNmlGaC1YZvYaAUsKQBdunSx9NeA+y7wi2
nc33mnjUYc2WqfsAZ8bYss8INywM2uYECx/t1COFhIS3ZJVF/bAybXOSm1Bn8gBwUw3QaFBoRNCL
odrtHLiLeYwveEKckpbFsSxdcd/Q6lzbmfhsQNhctYQlM8lkrBaFw+gezMQKntLG19/GgA1Qbtb5
VZuq826oCdhL0npkn6GDz5JUr23GS2qDkd2+BbeefzadMNtZuYDyqedMrkSr62svmJK1JjQFfRMi
GpQ5QfrBihtNxdq0u9loae7147jOa5yH4MZJ30qJfpVwLbZ049IbHuvlZ8Yj4fveSa8HLcZ4X1eN
s6umijkTxLE9yXBkuzcq/UBTCWkbTXE87bzANmlSzafU8JIdiCTy5aqBmJdUax57vV3c8dIpH3JJ
0OMmpre6o2NbfETFuZzaDNOlqyQ5e8wFx0s6ofYqiPpsE5C6/Z0ERNKDOsc5WHMc0FexLOY7jXY2
IXKmCac65cCmqa0eDi6JTW5aTQvf3C6OOhytXSCRPjIz3Isx7DY13/EBHxrQT5Ar6piDVum3U6a7
y6p1/PdeybjMaGa664an1kZszO5umpS6NMK2OuOBPR1Enk9H9pbecW6TYTs1db2mkditq26KsRk2
6q5n6vtVMGMlAdSbidisaYO+XaG8cN9Qn6BBcwWaCtuxFl/L7+L4KQucliBSh9YiSk7SwgSvGJYt
zzlixnjSsP3krjeI9GSPCbB1PLz9AV5Vk0DOYI3qZ56hjdz/9w9QFZntxik2NSapzOBziDFisHkL
OgZ2D8ANxZnPY+YPR13Krt8rQY0YAq/AgvnSjrdITX4BfTk+SoQQpeSJ9mb5CaIPT6aytShy3v52
L/CJnF6t8bco6nXOrhAvyr8+BDjTeIF/IthxeaiLmpfG4h6Wo88T658fDDYmXTwqdBBwL04luZ2N
EVCFntwUaHaxuDybJZqCgF9v+/ahXlfSoN+QfLIZECYbihfLpgo8XRqjUCdbTWjC6TruJRlhaxjI
xVmjGTT+4+MtsiOTZUIDTLovpD8mE/ciTzNkcsi173+8A/NQ8MqSeUM5xLye0/v2MV+vEfjrkq8p
NFA9KV4cs8idSowp5v+ui+rDMOD/G82hOPt/HEWbuMkUuQfsTH5fialvDbkfNeoU4DA9TBGeTkQn
/5CTudzmxJhjqpHYdFj3L46iWtuqaLCr03PmhoowwuLT/X9cJTw+trBddjtsN1+csaQCyl9CMzlZ
Pq7jCJ05aLVpIAqBMA/zkglMP/9hS/f68cEzfbnJcB/Z/OnFF8sj4rFQsDsng1HPg4lD9zSLnlIE
mYm3zTFGEzrYzDy83r5sr29sOpXI0NC2LbK3l1/Vw+Mv5lJawOG4ufyCx1SriEqZY6zobx/qb74i
i4NQG2pwcktePqs0wxMOlVnYaBfjZmYWZ3ND85p0Wh6Yyw5uXFbN2wf9u++nWDVEGkkFS/LFA7LH
3G+HnjJPuAPAy2aEVaQC9wMbnT/eaM/81N+fxlgYtXQch7GH+/pOC6HdC25nIPkNztvYzOSwklqk
t2U/15cFEhaY1RNl8jhQ14FcZ1LfVwCGdkjJHDYXBZx4UAxfTfyuVJ0z2XPXbqKwr7x9Wl4/96Bv
2AgQeZqT92S9eJ7nkRwiqDqs8MzmQJGPVzseDV5XfQzHlbYxZf3bhzRfP4c8obmrFggtJsmXBNgg
pV/i84o5YTui1h1R1sBoBjn01a1N3lhh6S/rPY7My6pLq0/4lWeT8DtvvK0aq8LEEXRztaNKwtAL
hiP8x89mD30n3SBuBq7dS2imqEA64oKQp2x2KbqFjD8z+LdPDbmiKJIqhu5vn5FXa1MhR+duoJXD
EoVd9vsjs4qapeif5lPv+M5jA+okXk1VzjIdF7D1Pz8YfSNb0KDhUfPyLUCIhicCZI+nEcfYdZwD
pwPZwi5HipJd0tsHe3Wp+WauS5tO2EstJl/cdYRzmiVaxQn3j2RjGUQtK4sbkV3i2weyXjCCCEHj
cbm8u0my4o36sjBJ7TAaVakHXuB12FwL9nAdvfemTT749Jebs5II3nrrBNAeSHLPRnYk2q6hCC+v
waIab8MooU9gDGyW1o0JgQTpTX0QhqKVRdfL3gk0tWzPq4TN8QAo+7rNIYFl//RBrKRJdUXD1JM2
9JAXlUiUAyvUWdOcrBnQ54Ch8AxlQLQPxPSPix4OxRpwgEDT0nvFwsaAbrX9CAeiFsqGrRDz/aui
QiZvjcWZk49/7B8ub69fHowOrzWUUdz6YH6Jnnt5lRAC2mZVS+ekqtH5hs+2PxFs6d0/N0SUbujq
VKQGf2DaZv3hJrNeLhGHIytiumyObNlUQosX/tcaOSVagoST+IQ7iJn8RsSkzEKexaFvE0gx+u4T
1KfEwYLAQOfSCwjBIOQ3iA5WixtrxZR/uhVdRhdxTpZ+TVXrpa7HvTGj02Id1Zki5LPj919rHFA5
v4mE2INHEgwBAYlrFzcybkh3WJZXavAy2GNLMcsTwZblIhttxms5jLTGGh9s/xmeKF702BcCvXED
4P8XUiz2EaRX2c1At+GyVq2xH51IXReTacz7Qudg/fsWUKLQiBnPaUsjmWm0ZFQaOnV53iYOmEOd
ljOkqqma2UDP0QkAkrmGjiI72EWMU8BHdlUkW3rfooeZib9zydNLzZjmUVeaqfl1qN2EprjBhG/t
jeXSDIVWF17308iftVGRIsRMkKY3lE0/PKg+YVOSVzP/da70z+KzT3w6L8xPedlUJfdaiMAGcm+O
NnadoB1h4z7Vo5ccA9cYb8txzsJr8mFSdBUBJp6bhtiVbGORuVtvCzMrk9tiJkhkg3rYrHBEEVWU
CELmAqWK5FaXZvN1hLg/0+GN5fzNVnnnXNSVubSihpTLDAeIH+Sry0eJOX9+XxJpBxXeip3zfiHv
0dEAkLiLkjbB78XEM9vQB6Fz1aKVU3sX77C9ZXzLb+wIICKLZ7DzYzXGnfF+LCIOXSUzby1PoKau
VmFqN9ZVztC+vTUjA5dLwnIJ8TK64IyYZWJ4MgzoGX2PBj3ZdG2PEL3M4Qkpi0e4nMEunfK8Z4tr
6SHSRHr65nAMIQD5vFdNgkzQGNPTcsuumff4kvmzhaiqvgo6MdZ3Zi6xLruRZIHloausSyOqeTc8
1wH07Fl90I1oNYQK/voJAAK8M59GiFvRbSvG7147M7CbewLFnltwMu34MHY4mndObMnHyA9Df9t0
zYDo7/m2UktYkljumUEDaH7MZUTrDfa7eWeOZgj/nrditbbaZWxZK8kqqlzFxihMJefVapaeuR03
3ROxdEO/G4mkuv4xmjFd59GX9lJIYMqlH1do8r3MeOnE1rTnV2XM9mc0BR3459efVsTSX4f0rnDK
E908446OmPZDaxDNGQkv3KZZaTBpSCeHE+tAB7d3sWcF0U2TV3wQU9A7YTZrNbf5bFbj5w79g4HE
V8skuXULb+wu8DObi8keVRFqt2j6hhGMJUtSIBrlySzpAocTtbHN/TfojPcxYwDCnkO6BawVh2nO
or5pbf2RwjxpCeOqW5h7qxSdF7oJ358zevNGKuNTWjd066eUpuSODtrs0hEgZ+iUCTHSaqND3ro0
yOaux/j4/CL+n2PpD44ltjO8qf/zmBQIWFE/fi1+HZP++JmfU1JTWADyaXPw2lcQWVwqnJ9TUlN4
79i14GOhRPzpSfqJnXBM2BK8zdi5eEtaq0Vt+XNKaqt3HhU9L3g6Q/SjhPdP7ErOUoT+8uqmo0ZQ
CakRy/ubce3LjanA10iS+2yckapUxR56ThTF3UPdYwCqT0DDNXbQhGowjPe6aQEYndtemg3bIMOH
q9uVLCanDE6Oh/7LvsgNygQ1rQwUGyJGNJ/WUbPvkrgd/T2WAhlF5xJLEmr0mf/XJwS5mjnWByGB
CaBXCrqsG8Nzs4fzTFt7cLWxCl0DUUqPSy87EX3BezQBBBcBTMbzLT5Zz0GShWrxV7yPq5n6f+s6
eF1uMFN2oXeFlAVvi+fwbMpcCL9ruq82vesO0d+00myUEgTSRYUD5X93zX+jLgCPRIn41l2Dze9L
G33p2t9unOcf+3njaPOdRiiwYHfYAXDfsMn4eeNo+53Gwgc59KdU4Bd5AXcb3ZXnfQO/jT/868Zx
xDvazwS8EJ6s4R0TavCXvuL6xx2BNOOH3uLnv/8W9PCcHfHLnUNyhk1LRVhsKMlbfrWflBZTUvRW
/aHIAxMdX4R/FiPZWrbtw6SSJxcW66os5nbL7NtbJzGOlnFEcOeaSbkWrXvn9m5yMtIW4ViXnvfw
MGlsK/ATNY9/YWCyjntvDXwbsxqcgZ3DfGWDK9rmjkAjW3rEKTCB9xi2WTeIpcRGhMxkYsdNtmal
R1IVOOYzVS82Ud4KUZGJnjQPfeph9I7wFpaFtVYyflJGKTY48hCkmviei17Xx7KvH5iLwRSTvb2K
Z2lsM1/fG4O4jVFM9zWHV7J8SIuIlLOWcMoCDb5W1o0ZgpCyFqyjKoFai7p6UOZCwq81gjGDr4dE
24K9kYtNb+hjXbvHAPn41m84Nb3nA9XKbJRLyXcrwUakFKeycOtmIyp+adpzCqgBPvAVOA3CPWZR
02z8mr/VCz5DXzowHXyrWXWhhcadAnlXpBilVaX4r4lzM7gEcC0/yftzAfB2+MysBZgxcQrK1G63
sjXnm6BIb7wp7bfQsbkmwSzPpEPpmg82kMmKDwSrF6LsHHxImiV/Ty8YiCL/PuVVcajsJdHOn7Bs
PjP2PcK7ILCanAfvDsliu7XJql3TGSDDdCFwOi0KcypzC7K219z5rp9A61P+ujTA+JcUwAdcM+hh
Gw46SH10TePueZFEFbvKyamaTalZB+Zk32S9S6il8O4GiDdrRo/9OhPypo/4UEGcOEeIIDzv464B
bZuNJ+0BM+vLZRW1/F02e5dRAy63KqBN6p7MTuWrkdPEwmLmi4FBykvW83eqeKZwxL2A8I6eyAbi
2s/8W8x0GT4C+6WhdRv0xAU/k3GWGpOWrqUhvdKU8dZ1Uz88X+8scPNVD/5iDc0PyGHIkmE2zaVf
3EudctMTuabfuclZ1bwNVm7I6nQ1S6VY7oWAYJAPaci/sod6whPI9R9p1MEPiC47Tpd29N00c+UH
BosrTQ4dO6RsvgAEW6493TwATSyZy3GFXYqolcvd+Hwy8pKbgsAK4HVJ9gT/mdgGNmInSkOJ5IBF
myYNFDigMbcZiue1VWJ9GRa8or0kGeGUWziAhdg8U5zpTvIZgrA5Q+427kEpmed25Uc4u4jrSDQ3
JUiY82ggp49OAauM3jsC4Dy5AJUoNrbgQeD2OPZhD6RbytTvIu2jmz7EYrPcXliGoT2jkNyODoTt
rsDrUHRQf0iFbDZO6CWnIBT5foRVsO3N5TZMXDIFl2trZHx9wwf22vvLI4QlkJcwye2Bc/O8yucF
rFqUtbfHAZIwT0yh5NthuhkMlvPzAlhWOLf4DcjZfG9PPMa8nvvbmWFxPl/mtqMkbmuWEQwp7IGx
6T+WkTQOMuSrzgbHyjvTOPiEAq5jGT0BaOASmMl3ODfEstrcPTRxonVmt97ayglvEDWASh2J8VKO
ck8o55OBpGdlaPJH/ISIPUAI0ZrEEeMQSO7TYpbm+aRDb6cViyzH6HRuYGzEDrwQ8OIM4BgPB3Qf
q2h09l6YglGFrY7IkLAUp7HVmtRDe1PXwFsrq6mPpMi4G53TXx+RahxEgd/YSINFW4RixR+4dIZO
vL3fWTchLbb9bEKkxPttbdGo9WtZ8bXJA6Ed1ZncRbosDlQs/APO8o9nEx5lBL/LTdtH8MFhyN7x
u8NrWbMkaMHcWKhGCA423JVErMprh1ROJtrlroELQdZlKjZhJUhkUQ4pgyQ8U8ZxaibugOdzjUQv
2SQZv7Izua4OJtutgx1ig+KVR+ACUtGp4V8jx8o2qqBv6/rV90rzf2ddvOWmx9cY8TxxjDRim1J/
cYUht6Bhg3VR6fuscIptYrARHrpLXbS4mgamIVM00h414KeaG9VNAq3EgGcjHw2FezadPycSXfZK
URFgLnaX8MN5ruMnrBjjxixjklIiYd1Buk6BCg5lfDEFTXeKBrKHV7bwA3+F98/ptrGoSCBEJ33N
PlL5sNFMck529Y/EyKQV2/E5RxIsDpmSqqqMU+l3j0ZbFF8br/+CD5uEzsAek+9uZZP1xFNinps1
j/8Bn3ld7LwswWy/qrFMrcuYAMcsdnpjE/AqQsTm+hce2XPGjrbz0FwmVujqY+45TXZop7k1HqYA
HmvYBX167oeejWGaXb5aA2ytokvZKwvDrZX7oOY7yodQq7tfSrG/qWxeNvOoaxiWu7TUSPUC1/Si
uZt6hjU7Rd0ddDRNwJ7D71HCy8XO3buuJkJOsglYOxEr/e3jvphZLPWUw5gbdAKRXZoIlN/7eN5E
UKbXlt3BHJ4fdtyDdpR8zWGLQ55Jvr99tBfN+R9H02D/LCIKl+Hp70ejW2WgBMq7QzqxQJZKwEsA
nsFmFT++1/+2zn/YOlsINTir/3kXcBVGv+2bf/7AX/Ji8W7pmC+FtaafLe1/b5xd5x01N5hEYJxM
t9gf/1tebL7ztGTmxdtd8T9LN/ivjbP7zl5i68GAWIofZ7j8ot5/q/5/lTjJptlc5LkaDQMDNtf5
fQH5A9HeYS7lscep6m+seE5uCZL2T8wPeetPsvlIRglVG23kHaQxH7lDy8yhEeMHmbvlJ0fFkIRt
WPLBSBbXL2fyv7iJ+XSW4Ov/0A+rl8RSr3Nr3lKec4x7B7586IAFF2G+UANolVVRCqi9JKWqKYvE
+cOogxHQ700Fhuq2ZCSLJlxolwnO8oj5pSXvk5lRqi6qjjx2H7IKqnA3dJF3sSSdqo0qpT63BMwd
TpPSZ2DewX/AH/88zvn8VXfYAcG6T/YpSHHXJghP8VkTL76tq0Ld6NAtpzVefnn0h6w9N0ubqEhR
YmPFgolQNPOWnneTXYXWRCgxoWbmmtj3asI4okE/dfDrqe9CoyIEnIq2j5X1idITg3MT05do3OJM
N868rQvSUVE45SRSODnK2dZ20SVX+H3WtL7jNZBj8dGoawOrtL7rxrlOIXpXdCcJ4clx+o3B1sAF
3a94cPaHycj8dWLMy2aq7SaGCzRCgCJATijDHLeoNUKLjJceHnWIeY7o29+oemo/uniKUPYJUHYr
gZi4h63uqoNLbNQOy6vajx48SaKGh4X0blW3XmfEN6LBc7aJ0W9jQROKkQDCHuAPo7cdOruOdr1N
iNYq4la6ZUwSsH+pKpUCeA/bO7MrQjwJeuiObKtTHCVW3t6OUUewkGkPDQMMZYpdhnDbXeV+m9hI
IVVpGgzj5sXqVwscdEFkEUgNi2EV1zPGzxLv1EEiayS72FGY5KR80PHkktmi8uskB/TXBJVVoxwN
Z/wzsGpWgRjNHXukGgHeIK8neN/7GYzV1yq0+h1N3Z3XEu7DnephptXZ7UxgCMUlBe9pjt1448pW
P4a6LQ9QOOatl5YtCpa6mHet1QY4ZmL28uuqp8xZ94wo9m6LZ5kSajxRafj3NtSFgzuEEBto/Ybf
nEH0VyaGZLmKcp19Q7m1WAtn6tJKRkBTYMRVuNr7mYpJaVACbMzz92FgxPYlDits4WyOMgiaiKsJ
IllVOi+Ajdl+Fazj0Yew7ZYtr76YWphshTpeotSGr0nSg+rukzDrwxWTgl5cNJVXR499RITeAfO3
Y101DSl9czcvQgg77h/UGAVYByQxEyBX2o4qrxtr7orKaL+QzLvETSB4BR7QEn+0bTHKGdvnZMZ+
ojpld6pbwsF6Y47eT3YxTQcSwZchrJ8zxCryOgsYypDAtXAYiASAGQBYGt07lP9gSEg0qKDRh1Gb
n9chst1NJezisSmYFJmEj7LUxyUgEd3ZLX2W5WEY8v0TKEhXMTmGl6TXs/kwLI+jsVNkkxX68j0M
OJIKKtn4zQp7cvOxjRR08xrThrEdA+jt1QKNZ4gApB5W9Keht7wGHgkb3E04cCNvwX2NxopJSfck
8NMJDOm1FJeeP9BgLK2yeKwbAvg2z3vv50c5aHTOkxOzrSK3h+doYrT95RhZ833aoHkv1slgA0Ha
jz5zkHnDm8CcHmXX4Zs4uThe+Z8kQCHEOprMAE5kYc5D/5AH2NnZ0hoyf+ymNmPpgMQgEnpWlxWb
5Z6BY18Yu6Fr4R0hOIT54lrp1ZSHWFPoQdHoaEyosl0UWFcO4uB6BQM0vaplCnUHCl4hCauHn06H
prVW7D7D7ByBtWaPyidg7RLFdcyhHROdUtV4+GZb+t0Gb4v+bECeBbYR1Ym3pgOSm5vCVdDOu5Bw
LBD2evhUmEaBTHryso2r2GX6OHIAiLJTSYameGrM9oMNJP/Ye14s92brDTcd8d/pxoCjQEY37Sw4
vG5EgW8VHvgaGUM97HBUhnbvY8Q3JuI2ERjdWQkMh5UOO/lFggCk34NLjKSGZEtOpIEA3pTjuZPG
qDHDPsQahlRnBUyWFAzau3LrjrV5ZtNzO3qWNesVC8i4S3jPMOq1vSVXDKUlqUqZXvpiDaCirmBA
jMliyQ6g7TPx9OtVXG94jgdr0CvODgggrpDMbj4+v8P/Vzj+oXBEvOC8WThePEb5t18bxz9/4mfl
qJiQIEpZFL9S0e1dcN5/dY6Zq7C5WIQYSwW40Lz/mrjod+g1tcUwhLHxb5HEDqBviQ5XUDwiq8KX
9U8Kx9cbD2Sf5BGTioM8CIDd77XR5OFZQ0QwH/DyIv2Q04UbX71d/L0+BFlMqCeZ1fCRqaJ/P4Q/
dKkRWHRaet/mSeqSvESvTHFK/1Ws/02J+aejLP/9lyKv9r1xlOGSC5t/bozPxfit/VOa8p8OsWwZ
fzkE1C+HFyOH6OYbLW6mCBnJ09vf4tWuE5/dIsdh8rXU8y9Va2pMrbwHcX4YHMbeveEF66gsbrKs
2lM1Z39Qq7z6Qs9HeyYNUhwzW3/xhUY5tohiENAW5FuKhn9EGbrTNCj/pJj/u0MxQmQIsmwCnJeR
86Kh9W6NJl8sdIO7MXaoNOPevBBtn/yh4Nd86t8mIXwr5OlI8xeQ4qtoDDORgqE0hyJqtztPGGgc
aKhN4OHncVWRJLQv+mD6MZH+jwOYv/t+Fk4UG66jRFX1Ym3ICMOfUUTNAUU1USYO/1C166wo2/60
oXkZt80YibcBhlStFxHay1DvxDbKuSyN+gBNCPdK6hvxwajc+JhYAvFMWlfX5WSOUM3n8KIj8OwP
53dZFS/PrwXy0sEUuzyaXqwaGkIlGnKCM9wM0DvsLmeFZuLD2zfCq7YPX5KdHBJJsTwitfX70hxN
mD6tZ9WHtq3MvabaJedK2/5lajF2mFG1rvrOG7cF5Pzd24c2f5hxf/+KFBfooy12+475SrDaoJqK
gx4JrzTy+kuhFYQasjsZPCzJ09JP0lua3vR4ATafbEo3smNszkU8mvtp7Id9VNb1vYWPzlxHcxNv
6lbfWDLr8TH143Du1SraEcxK77yF9mJCC39Pv7ALn7uWoCNpkGvCD84a1eu1W5SfM7fcEM7YbNPC
7A/kyK+lV4Wk2Hmm4uWvw4u0LMFDVF0BsBqbm6q7+BiKVJ8Br1GfjExTx4ZyCplyGOqM8dO0pvfc
bEND9mdtwJx7lSyBnAzCO8C84GSiln8NyxBum66+KCvTJz/KmGYb7Igb3E97x2rOHRrmH8Z8Yorl
d+YeS126Lew6PjqZIGOoM51dk/Aw08AILlyRgOy3GSHyNOhvbd3ySxK3PQcTMG2L2bUmtO+NeeH7
Nu8k0AHroOjCGz/uhy9em003PcFPDbMfHJSaNv0eJ+y3AYPvQ1h2dbzJyGT9oAZ0eZthNr/V9ZJQ
Jhun/W5UzogZLk7be3anbrgbVevcQNfmFy0nWDrmRcHGBGBjyxxATVJtstJvz1Pl0/aEnZhtfSJ/
yzWfL1l77OLAkMbGZRw439oGLM8wtQuNdPzgzNY3L/fkJ+DOwZqMxugBFVd8FKT2JYDkWdH5AHq+
LWr0cggNDjGmiRWGHi6CJFHwvhP8vmzkc8SABE6ZJ5v7yIA4AalIn2W0Cy7KbPDx+dbmHsVTeIM3
K2ZqafcbrwbkOliu2FMrIlrgyR/QIJh8yk2Eeus5pcEt6W8eZlNxAGtmt1nF7X7I3ISk1Lh/nxRz
974tff5y7TUsDKQSN2kwMbHBYHpCb+1Q+BfdlhLauXI9TidgWHIZs7q0Nhb1y2U7eHF8jC2VIVla
IN4jPlmoGzSCbkEeBzdTEIn3eECTkfBVMi/hYJB6HARibzq1/wSixCYP0DL8S2vw4HUksLe7lQMn
nN2q71xN5MbDYGarDIPEOU1lXZ1XhjZvTcDxR+WV6to3bGNPMJt9rc0sOB8cee9nFfwlHTbDepS9
wDxaKQsWZ4sisRvTcZ1Eof/UMgGHkj8U7co2OmNfkLH93YkT97sR+O26wYd4VrPBfwqRDGyDriKv
kvG/2BpNC6yr8Jbz4YtEbcx5BBHbcCabfmQkH5TiYDbmxCDFs85T8ibuxJjMW39iLMrBpLl3dV7j
C3KGB9fy+8+5L8MbkVXiQD4TCQlON0ZrgLP0FDL611/MpGlPVdZllx27msfatnMANYF3NZqzfZd6
LakG7BzYh1amPHuWFNs9E7OgrN1r9lH54xTK4aaesJCPAEQvx6ZS5+ZIABjbeXmWlHa+NyvZr8up
Ve9LyOSbdp7Y0g6Gy5CIrHViSRBCh8Am/famngVj9Vn4icZ4r+QmQpG66/0B1DXQTtIdoeG/Jzoh
/iqJAjyYPQ+hxMiaPUtDbkbaiJCDymbfFkOQbZoyavBtE3jcCac6Swc1LwOTKrybMdqh0OlTfqf0
Q5idnvYB1+XziU8b3FlmMZ8mAkzPJB2VdSp96InEBoh4JbPYO9LNlbsijtVGO4F3lI1X7GjAgT8U
gbHHhhNlfAGbNeEunVMqdWZ8U10fjVpAw4MbNe18YjC2qPnQ2FkCilrvk7aC8oBKw8rd8Trnbfw0
VG3LY6xPbtLCcfdhLKZ1y1PgcxR5BFz3Wh9aLPHftEBVARJKnjFAzPcDKk6XcU5cPjZJYT6x5yMG
N/Ui/3vjden91IzDlYfC8PT8161cSeBxkE2mMcCUO0s9XA1zPF41ZLhvEXcU05Y1TA94akl2NaH3
Yq3jkNFc0nVVDY3iblr6EnbaiqcEW+5HvYzaehnyV53aNqBGqemCXMYYcWRg3S7q7U+xExb3PVE6
+9br8j1oR38bzaZYxWS5oWQX3pquRnJSRffIgKc9ulq5CdKqmDaAT0smJsqQh2fdX3otHNUlQ8HY
1qD8LlQy9hemsRDwJrMYscLDu6UbZaKCBtWHedntsxPghjHB+q3aDtQoo2awDHxgMZLM5UWJem+i
xX1om35mANxw6cqMyass3ZzCQtE4AVjHYaOEAfw4M+gxa7Cmha6MuzJSw7D0hNqta8/mOX2i+tjh
A/jqMRc6JWms3mcoR898s/CYnKP7gFFIP6yi8NuzIwTYWBrJ/eBFHtElFTGwlTK20qkJ7WjbfB8k
jFfr5WVHi5WmS6zH60Fpsm5MptSF16CuQedwbdeT82hmVbrNSxa48p3kBOyYWa5w2m3miPxbzDv8
aDWiuYPVOt+zkIJrFRrBVRt33vt8CUdXTgNEtS7zPboN9dCyKYRWFln+eUqIMd21LPf2Fvk91xjb
4cYZov/WM9z7kOnSX88tjcjNokL4cZ0SVHTfJ/S1jPXtYScc4BUobBkBAyG4BmAwneLUWlKRx+hT
3jXujVf0484Qnfxod5PzEc2O8zGW5XTJm0rtwO8Ym4lk7Y1ROiG2dlijBIrUt0WYkX8NHGJrJPZ4
+XzWW4n4lAhHl1hQscMWXPDia+IzLP4m/oKwYGA/k6/KQtyNshBnuoLQm3txe8ym1t6WFeBGusIO
N7HGqNJZU3rlu2ZwNLMQN/fzWp5dVDfEdUCApUtwNrvReKmbHC98qkmSd1oa5lLmyRVT3OyoplE9
eIgA960vSAVxI16GYna4/HNFdmFTzBfmIjEJBnAEazElIY9A07wNjeipTsgF4qEwHUnqya808d4b
TIEdRI2mnO7FWEi5yv+PvfNYrlvJtu2v3Lh9VMCbxu0A29N7ih0EJVHwQAJI2K9/A6pzXkmb+5FX
9boVUXWijEQQLrFyrTnHnIcUBOTUbohj8s5zDxBWlznplZHFygaDQQYpurDOoHCP15ozKHAVxXhV
43moaFOVcuvUlYI0ai7QeOsaEmECu2Jvzbep35NrNA+gw1pxMUhyYoOSRvB9V43lpmPBoQYikOBM
M3V5VUcoUJqOkX9ERt7FNCAOr8Of3CoNEWOdlcp9q6pIy92C+FeYlItOimVDjVpeTWmBF4NuB7LV
7Zc+tejLrdTK/FHteJwKMVNWe4n2VY3M6cIsEBKZw6B+nTxX71AWM/dVTBQuMTmv6wSHKA5X2BxN
5jgHezCntSunZu9Oei985B6iBt5o05yU/TJfwss/3yDZ552HYkKoZsh/uQeMG8GzpFF33kmAMyF/
9Bpl2TKImetwR0vT3CbESexTN7S3A1GAyxldLUb3YPasmIx3Wp9BlxR3+pjhE3DTcj2LWNmyyYb3
bliwuiecN7BAyvrO6I2J/nSinEVhf92JyQHQS0N3SJU3t5bORjPLZ6ODl5qnU3jOaZBlryIXJwGm
bTau2wxrVGT6FlICEVXUJWcm/qcuyGvVWVMhwp6YrSKQ8XSt4y9FLGMX35xS+dbO1tWot8ZGH4di
qdvqvRs7Oqiu5H6oYoj3LpxbVisIYEofaKpJWlvIPsvL3GeCI3HcpwZ8L7Tz4codosjPjEauVFcq
+9ISJsoWwfmWAsCv3+HBY8UuL0YRXogyjoKsj8CzE4+R+Iyhuu08p/FL1PXWLhu1HABJN/b49ebq
Tpg2hOU8QpcFgS8+i1NbXJdlJp7xuizUtwmutCK6b6J37DtHY8K1yl1CYLoenxvmA+jscLx3SpxZ
I7Ky2rw23Wa+Bl3R3IkoQWxUdA7TuxGqjD3b9nqEkR+EkNm3uTenGyDMtMXUPDlEqTbBkJT1V4/A
6TMNcuoO0oPl4SeoIujZGxf4WHbWll8p77UvI/viC83rpBo0ulXd9HUKs1OvuuE6xM2wl1PsbVN8
GBvpdryKRUHKT+YpkOUQ8DTdagytr2ZsQsTs4ZtcmSCub0o0NBuyYZovdkN95eNh0C8n15Nfsjx2
DmT0lk/h5KghHKjOeFSXL6SNW8VXYzfejWXZncWJa17ERSufSmlYO5hUwyG3ov4MkFP2TZopcazg
kyr0WTK87h1RfC9aRyWxQcM02KYVEKFQOAcQGuZ5I2PaHKQs457pS7CBSYukZVKk+WAwiVpnoaVl
MCj6+LJSpresd9xnHfPQWvVmN4giVHVWm6dB2jMCpcab+RTGRdz5nTLiO5kaVrI0T3cpCXS+QCDC
7eVreyCzqFhVUOOZF7gECYoZK3txj8LnGecBnSVWeZ/mKcGX3sSmWBNPjZEaRHEhCfSBzdUdbFoP
gLxnF/cVcWHncs51hJ8hpRRa8imMjMDMhNsRUN+itNuxXbKVt0nmnUBIZ+019H+PUoE9yL7TRVI+
EoCgJOFDbigSP5STX1Mqpq+jZlQPaZ3Vz6ITpHwJBfcJ4xAwQ9u+skIYdYgx2UzJ8sY0tAEXVZWM
L1mDa40ApQGwt969RYM7MIN0tXMEhOWZQWX7rRQqMD8GsStbyS7nCualz9iH4XTmQJbiVp1nvRjI
Z6uFvKQjF12mFEPocUkfWBPPXV9AyQ8DAFI6IQnOd1kS5tbxTfP8ziEe2AjlfPCqtrvO0EWvzCiP
H8emNfhwOdpaY95208JJ+ko/6sVM2+HFnMa7udOBljg2GEelHLQtAnhWdqEYkLu7/A66zyCDOIbj
a6k5UNvQbjd23KkbCEsdUMPY3CluZW7j2GYqn9kTi0vTOfu48NibpnBbYLTj7mQl9C1DiTbMiZ17
tjp8TyKveAkLR12JyHsyR3M4U4Wmb/kpBLeNtbwzE/O7k7vNVU936WtE0MOmzwaX4AeiEC88bx62
0JG4YpXr4v9NyZgELgeXN3SekJya90lfNZu0S3hhGyib5Ab0wRTbBMAp1lYasX7NHuRxQddcjWK2
D8yvmfcM0iZUpAxfKw83UN4MLv06kP/wPxHzQeIHat1Q3Y6tVQeAu0v8PW1EhQswvCjkXrpTcRMm
in3tEKqyshEIXBLGZPzQorIkQX4Q64ZZ2wHcUHeFpCI+z63MujORoZVRMM2h0n1JSwWINMPAguV2
jWJZrGY5qjdh2Nm7fBBdUMms2jKpzu8kKy5SVZDrRMip2ybv7vFC41lDoXUwomrayqF5ib3S2aXE
Q5BELscDC6myKwyvP6eUcw6DWUTEtdUZ9S8C5I5MCuDBUnw16pQZqCu7mi1AHWdfSZRL1TNNdOEZ
uoJ0Rbdk4GFr9fuOzAZYuHhVvEuMWxF8VIIDRt9oKmFt6pJ+buDGjXdZTk1+XxbYCbFpeNs4aReu
q1fc23pLjo3sfHWmVGlqozmo8/ANiFlxgH1L+LxlsUmqe9QPWpYi3PY0gpK1ncKU7cD7jxygsB+L
iNrYDKtoR1WYr2h3fGv1pFtV6hQGasr3dRoIgR7tV4ctyJjO51aj3lBD2XTOaBMpnat9M718ODMX
DaZdGzRSUBdcRaG260nI+RHbhnWN7VK/aUfvB7ZV5THi1XvQdaeJV1ZbMcD3mnFJKCZbhJl2tVXx
e631pC5XtowAVpd0AD5uhJ5qpCNOAneOrmARNv3eg4WnOGqRbjTLBm1aC8PCDpYuTSh4NzlqlYjV
f4pluP74sKdmIAa2f7zxdGBxKf1+WKPFx0C8WLNz6jQ/aEX/YHu0GyKbTbWHOuPf6NwbDFsWyCHm
iWOBId5PVVPcicO10rqv9XrLxmNc11gPPxm3aMsF+72tTFMbFZRJ9X/CFe/N819NbczAwzd8yHTW
prD7PsIlQGOTaxe0s9St7c7qaxwuG9mBNuDHV/dU9x4tL2QMhGfQFY/EUJljSNSGarMznMi8gT5H
JzGiPfvxUU6NQ7iFS+scVzeWmd/voTmGZmcWzGB+jkOAsNMG9Ui71EzU6B8f6tQJgfdk/2XQEURu
9/uhMuiM/cQwHtZMna+AWrzYbvXy/3eMo9PBoqzbLBLNTtPlxQyg3nSLm48PcfLh+EmDQP2JVe2d
4NRL3aHRZbMTfDcv8MzqB71C8TL3Q/IcK4xa6rIHU93Q4hWgOPduaHw22nn/6iF0xZIEJozcMB7U
36+laYnOUCqv3kUa2hlZSXvRuNfnuZLW+0x45erjk35/7zgevirkgcAWneN3jywi1Z2EUe+KcmRx
tCfkdJrzyTL2/lk0mKFb6DNtXIU/nVu/jm29CMInIMqauLNooRNX4ApFf+7AcPzkUTxxJE5iiZOH
SoSx4Ogx8RC4zdPkVjuWNqwjSntmTM69aNLHjy/bidsEHFVXNe4VK5e5LNy/DKJtUWSGBxZgNyfE
OOWvigt0LStJBwwPHx9Jfz9sRLr6y6GOlgv2xzbSMA7V9R5Nw9KM/GIgWsofPdB1dV/OD5PFYBom
bwidFMvQSm3q8AtqWGWNfUSSzuCUW71lC180Bs23wpyzg+Wm4iDJMtlD/J4vwpwa1KxLbMkY8NfU
dHKd6zKVB6fPx8uh6uieTYh0Arb4qITsZP7kRM0jtIf5c5TJTEHlBYDIcvyxy5cEMA93y25uY/nk
4QUjYNW9hT6XvBYovw5dDkSwycMvDZjTjZPBxc5Ge28TX5xYTIW0miQWvXsoQooyiYiyrIpbMbgX
M+Irv6iyet0iyELtSp4AEcmG7kdDhRazJ+US1l0XjKRT75irDSspXUxXUCxXtA+c88xEy5BmSJFG
1uuVRwDt7ETk1fD18bhaukLNOrfqVyccyk8+WieeNd1jBoqCBfCb7hw9a2HRk0TXTFyXVGnPe80z
9tz1cRelDdIqoquG3ceP3PvJLxQXxzSx/+pQoo4nv3WF9WQQRbXzXAkDOamKdR01BHEYQm6Rhcrz
mLbPvZl40SdQsROvL2NtkDXYHjAgH7++TTT1StzZ5Y4t9vTc24P2gkpLu7c0O33745NkuMxqxD6L
fx/P0JnJUOtOXbkrenxLSb+Qh+lCY2tJy2Zvt1niBi3DPUTCOg3Djw9+4jypqwybORwSCWbcvy8f
EJFh/1dluWvDKtkCi7yP0CgGbkqO4p8eyVwWKY1EFNWBoHa0ILL/bKMKmscOO97TNJXDSnfHjrfI
MP74MaXcQDCFMAoZBvnuv5+TaKsKj0pHxovWEf1o0/Qx0qthsGwQGvb3Pz8tKEDUN6Z2AvMVJbko
zZxAGUb6xk4RU1kxv6CfDLwpaz+5hu9fQFNFwM6HS7MYph1r52vm0sCOC85MMe9jQ3mqZ/d7Ohr3
0WB/UoMs7/Lv9SmHQp9jc2qs+e9ASuCNplJhCGyIfG3Qp/EqK8dfRcjFXPYg9Uns+fhKnj4iEDpk
bMtLd/x5MYXjVssRa60/kFL+CmDm3mgyYqFhMPpxp3+ChXv/7INmw6r9s+rgiEdPpNWy75AEu+2U
rjtgpd2ZZnaV2Oonh3lf2CyHWdz/+Ii4mMv//8sXunfVMUn40cSo6Mq94kBzFyNfxI+v3vulkqMA
l9FYmbFXHLuGSAIbyzTVCFE12E2zywzylCTr0r5Ja8kwz52xNHyGXnxHOIK09XPhcECBwpU8ftUI
bZce275s58FE8IecMKqgFNl8MXpMCH+6FVuCQnSfDL8shpKL+6xEt72VYx3tc2ZYm4GyaCaJGmNA
lhG9ISgOlrKgJmvrDEmO/eDpg72LiK34ZI0/eWOw5PLEAf6Hnff7jWEcGud0VfMdnbFynU5eelBG
eiwf35iTTxm6SuCRHhGJx+9sYdZ8RnBr73As5OCR+52aafeuIz+rWk68sFA5qG1Zh8htPFr1LHyY
mGFLFqJRGAzRw3g/2uq4+fhsTq1AWOHQI8K2QvX17pqp+ki2RYZwoUXijCOGgTy25bbNv/ap+edV
NHtGZKJ8MshKwPT3+y1y0c5jKuAVnbLw+3LtGnjvRRM+fXxWp16exd3nLFwTTuzo2o1tRqJJxcuT
J5Z7nU0a7f3Q+k6jt9o0keV+G3KR7hHPfAbiO7XmoYglVYKP7/tND20bleiBPttFyONlqbwuaGWR
Pop0vmO53n58mqceeLY9ACZMtv3v1II55+jYos12IhLZtrAt52aAwbb6+CjHMErKZ/bgXEydz5GB
zPloXfU6fSRisM52bjeoj0msVhsFxbEfkleRMxdwhocUHm3QVbK/qqcyI3vKMbaxi55snoTNUCsV
K60Ou3U+uMyCuy79bHernbzyOOSWN9MAjHt0y5uwVS1gZ3xtRpMWpaxfNelVAYqWdp847lNHJCkY
75gGakk0Xzb07Z64zRcISYSQCXkQkLf3dJE8354UkO8x5/HxhTzxrjFPowR1HHAe1Ie/P/w5EO40
GSm3SZ7+LmZNblSBkCsE/FBNrx8f68Tl0H7qG0n1QCl7vPvWtQn0Mujh3Rxq31UaDiQdq6/tRLiV
45XpGs2w/KTCOPHSaRrTAioavljvSuy+yaexiSpOL7WeSXxRAh3FAD3UZvYNfaof6maoV0yC+92f
nyvpn97SkaJAPF4pSddA6uS21Y692mVtk9ppNzmWNDvy4e0+Ti4B5R8f8dSdpGSjDaDDKWYp+/1O
8q4MsjXhbiiQMINJ65mIkvt9M9ResStsNtIfH+/EN4cTpIYy+LBRLB69gUVInGZScWlH8Prr3GyG
lQpnEToD0U//xqGwKRu4KcEWH39EhQP5uyjZomnARa5x9ZCE4Ej7LAFK+MnydeoZNXihFh/CInnW
f7+KPXKccqYzsGuL7r6LqzfLqu9zMnz9JKpv4NDIP94csYBhutAtTUdHfvwCaiN9fr2dy92sw39S
neG26ZqVoA/wyYFOLMy01FUiuOk8Y+NY7ucvJaKYB9QnIVvAPLKwmY1bd67vP7lPBj/jqKD/7RhH
z4SnpMS9mRwDMbHmm0kiDq3VWrd6ZwMgyLFnktMANHhoiMu00+ihGhoHoQJzIiy7Gc2/DiVWmTBl
Iuac2HhNW5NPmO8SQzaH2TTjG92LiDWY+vBLKEB4FC3CEHa3JEz3UbiPLRe1troABLHXZX7K6PB2
9gqEHqXWZpuqaJut2tehxwZqjK7SXKU6rJLEL7OkuYpHJ95qTTvtcwt5WG/ExUVPDO/Ozbz7pMra
gCucke1M39SPESntEEZBkxxmsQ672EKomC15EaS4guTsNh9f3lPPJl9x6E1YKBaa2u93kGQVCC82
zyYSxdd6lK/Qia5MQ9lAjlyHCka2j4936g2n5qbYo32PMv7oeATilbURTeUOf+TSc7qE1bkfZPlJ
8fq+5WfSK0XhT22ymNaPDmOOWWzAwix3CFhvhEgW46T7rQZxW0UXDMNJvddfoqb8ZMtknD4uXVqu
KJvr44LME0VdiMGiJ1JN83M8qriEGlO5QWSv5mvm9exxaqsI1zLr61VeIlBSupKFvNb7vYXC2EoH
ZW+onbLRpFkGIaI0HjixxfjB9MxLv1paz0YdsgeJsjPRpBKQZtITcxtp4Z2emS0MbAu+nExNIrJn
Ea1Tfh9iUcQbenPtOnXzeUv0Tb3B0cX/XsxWELcyXTsKQdK1YX12K07d8YXZDDELxbqhLZfslzUi
UVurKLO+3KnydcIXQsCqus00gjw/frJOrUW/HOe4MMKFWgB+J0XbtXI1KOk3BEUcrz8+yKkPom0A
uSDUAVfCMaJArTGx1oTG7hg6uQGOXJ/N+FOVxeh52+kT09nJg9GvZM/i4W473kTYDYtRCUYG7Q/R
arCZt70pNqjP0HHK5JPLd2ohsGn787XAsveu+M2nybBTFBxkgjY3euvYgRZOT0ROvskE81Zsf3Il
39EeqLbZPbDlX9qkunM8p5lbkXN9qdPSMY9xmOjawZ2bYa/Ti19VhhLvTFHLYBSecZuoYHGnCEF1
VCXlhRsBDfAIrH9wsCMgDQ8jImA/vtOnHlvus0Ebif7tO2YLdIlWwWVf7IZavBle9Igz/i43mGH/
G8cBsbNw+QBMHxcHba8QkIcWaMdOVNDNka/lpAAc7ppPPqSnytafZMol88XjX7+/hwYhHWSvzzBx
0KvHLfK6obxpgLenrnaVV/U9zKlPGhWnHuBfDnlcsKazmaMPUoudMoDk6qo3j4x44AyHpuo/2XMY
p55fdqQMySgf2Qsf7Yvk4JpiHp2CZUafXmQsfgyAewOy2t2A9m0UKAKeWcGKvE7qReesaIsqrEFw
RLr8k0lT5Sms3XbX6ailcdTgcYhlc0e4Ggm+ZU62WNi6m9EZ3EfXYtX0bTAWfqG0I5DrpbVZ6T/U
QUdKTwbKKFQSQrtLPIliLSn5Ercf/GIyknVXTPqdQPDJx163PnmaTl0Fb3Hq0uLguT0ewMIsaNsS
bfRuFjPpQjNgPNV8soR1Rs8UR/+n8SKnbvHiCsEx6NBsPb7sItUi0Ni8JkntKWhyOriAM7vflREt
2bTtoof9+IU5cYp81xe3MRk0VO5HexLPntxC6ka+y7zIXMfNZC8o5nk3pVX7lAIM3yF/+vrxMX/q
NY6KUCQ/RGzqvKJsbY+erkgh7htYXrGzi9kL4qGz78wYpF8JleaMYN78UegFoUULm+2nPNqNZf5Y
dKAqJRKmrTIMKHU/+aXej/vgAVHdsPlhz/Ru7xuN1gyikje6nUNkdET5bRDDkYUXLihxmLo+Twqq
LStfe1ETBxMzGVTfprb6+BcxTqyViy8cOcaC3TWPW4Uq0gi7kEmBbzk1GI0smurEyOcbdJ2ldcbt
cvYyRQmJvaP1o5wmsqYUzFEJiumvB2NQicgK1eeYVDpI1rP6TFlcbuOBRwq3RrZBUAR+rovfJoSg
LNn9GtRPvEanaK4apZTwtmtnTT7XQn8nBDIz7jKjHK94bTHAwACbn2K38w656nxRuyn7ZGN+6vyZ
gOFBd5YJ/XHjiHZbmrfS4PzzbLyL8efuRiAhT4mmxJuPr/WpQyH6RGuAG53PxlIF/VJNMXSq62L5
LHkVucqidhcnESyvAyy96OnjY/28b8dP/dL9Ndi98hk83v6Xip13Q5GwOegtkDSSgTFGk9nUtqGo
+lXp5NqZVqnhtRz14RICTXSjS8ULTCMXW1Gqzf7nL/QffMMn+AYeLd79/0sSWFKO/8okXsKR/+e/
V2/5K664t18BDv/8O3+Tfy2I2TRPWaYd8L/ekh78N7/B+ofDm4uWa1HH2QsW+y9+g+H9gzIQKjB9
CxZ3QrN/BX8BWiEegsnhX2iHPwF/ecd7fE9lXocIBJQY5KN326YshYWqzWh2JnuKn9FMlAKmlTHg
k5iLKkDRXsiNqKfrvNIxxOQxMFUGF0EZqmKDKpPwxBlr03OYdAXeqzKzg8RTh7dR2spC9UwDhEYY
eSN5XRKlwwqVv/xMmTO6RGzKiBz3yVBJvh35vPhcxGQXwmK9SyWgS8SX82WeWnIAcYVx28EKaQZE
5DYHhpDEDFRAPRUnj30ZN0gKPbs5G2vwl3ZhEJMyWukWhs1C4W9sscegEO4rpZG3Jd+vQ9MmLziT
leckLzAd1aXtm/VYbjug+Wva3YYv3FZczSNwwGJsb3ogTcR5cZIhZ4p2/gbGH8Wwl4GxR0zsp1B/
t2qU/RCNkQy+6slqVap8hywBNU2vpdjUM0ePe/3GNkaVCF55ISsMLJ0OXFRz78O+u9BChKjxWN5h
7EWwDfzRzzN4XSS6L/8ozqupODdd8RyyuAe0eMcD3NQXwLp7u0YQwjp1k03ZCybGFFdbdTcShIjC
HyyqMOJ4lbmi23QqMNeExgyP4P1ohGuy3AlZDe3lV6h9G8Va4NWjsXVmR8UepCgbSAsV+ZFe/lgB
cX7URnydP4m/hHsaG6ZLow/0mKgItfjRzuIa9sC8C03lIMn/fK1MrbkXoK38OAkJ41hGxAP41+t8
sHahO+NUtGR9NfVx84yj+95uk2pbjSSaae0UndvYQdcz8zIyF2wX0ZL7kM8C5hmb9IfIDKODWVQt
0lL8QfSUwu6botZNGaB4Nm6knhuXRVLH2mrQ4xEocVzPa+Kt7gxFI+yYiMd4pVfGbZtLb0POULky
jNgOQt4cUEEoj+McI0tfjLVHqqaBQyQSmgYYFFtUynTVl25vV5e6NnZnUaTIbjM0ivXgEORyZha2
CkxKYnmfJFVwkuoJUbpZVW00sHb4enBVnw1Tbcl9RY4ThrBUTj/Q6M4KNruqwiOH6v0i1xsj9qMS
RG2+yFt9QJ+BKFLt7j8L/f+G8r5gTD5c6JNWNsk3+V/Vj/8iJ6ErvibMS/4ZT7///j///c+///ei
D7RHZalnloN8lQEuS/vfi77zD+pnjArMMI5wj4ZLGALQEVystALQ/1Hx/wv3SPYjMgektzTXdP6v
P1n1+Xz81tgFREmyESFDukmQAy3k30sZUGiZRua3imWqCoroB9FeV+MU7kFErEr6OEWiHlo1XPMi
PWsZK5vRflK4Lgj9d7+CwdDZQHRL+1o72ktUTEaF60bqrmom9TI0nydPnLd9ti6LTZTpmI4kNhtP
RKVv5li/MA1v6WSU60H/YsIUn2NAzkp0oc6Kn1TuRnqZLxzS2GJ606ZFBrtIV0ofxb4qvtF95g9h
Tynx7GUvKQzw5T9OJhyCZHpo52qbFGDHlPVkeTuzokPqR5l9DtqamNpZhb7nK01rGCs16yj3SyY+
qPl4Jqg2Xb8wIp/9wllEFq+fpPONKdslLQIWu6tc8EID7ZVGi4Dv3FS6G1aebj2W2DYUT97Y3hcN
4UMbOa9zy2/AK+17Nv4hm5Dv2sN8Fa+7Kl/1Y4FlMrsdlfA+rYdmnbXFupfihe+Vuk3y7jpqnTPQ
+F9ndKoyzQLmVPnWhtfgD6A4fKMsvxWjSQcwhZM4qcM35JiriKzU87IdLCD9IhB2y8HwdGfGVVSw
df/P4vK/WVy0f6bQ/r/LyO1bRUbXbwvKX3/nXwDZpUbzTGeRjSFW5335a0VxrX/YKu8QmBv2P0sX
8V91JOvO3yuI+g9jURYvQaRslVz9TxYQ1p7j13epZPlhqIeYPhFU9vsK4qEtd8PKzXeGG30Zshhz
LJSBNYOHZ/Yud02v7Eq1q5/dQnvG3aJtMEqyl+wPcnLc9azU+t4YimkPlHD2S22w9mh58i1rgVgR
y4UEtveaH1PYA/qMHfDmbqueK1EuXqhn1VtFn/TtzJd2ZeTDHAg3STahUo7rLnJuqUrd62FOKHVk
cVYOhHRJtH2guWtEtHhzVtNgYuWRDZjM4mpq6QUJaUoIKuOe+Kr5BpCetaqcwQm0aejuFytoEE0j
A6mEGEhT0W4GmILbVkZPtgnhkL5VviUPKb6QBHOdpQa/k6qWybVmt83aUuz6mujWtZnkj904+ZA2
8KnWtgUKvX+tOm0h//XDqjHF+DWhOCVUja6q4c0V8Q21vbXaAaW22TjboZzaYDBzRrSG8V2mo7Ex
Oz1coVKEFuV0rzrZrwEkx0PqZcWGqmcgtZuk0lmW0dpzGJTFTnmLJXoj82kzV8pVOKX5ulPqcScM
j2xtp9JuPaHnz7K3xBNV5KYAcUihWdxmqFHPwUo0QFRcJ8uCsMsvGuwEw1p3ezWoyzp77uYquckM
gpCNVpEBQBHMjSLqm7vaUBiUMD46M7MJXqFSWA0qLbuGDS6SSwi1w3PokSjqgTh7HAsDly7CTLyc
leOex71XrNuBrAcSN90bZxgyjHwGuMJcx/0rDVd8cZKU9nmK7PuxzOh/WDk+WRU2zKVZAhbBppUT
6xipojl3at1diWTBziSe3kE36urab3VRsjMIQ7Y1lVoeamWmHq7dEiR8kmeD4mtVkZCjUFVnE3vH
jT446Yuj90RjjSHOZEtPwsdUz6s7l3S19Vgk1Z0Gf+PSgA1yZg6pd860Nn0RIgQd4WlOErHaztqm
SPFoSNUYryeLNLROZnz6usgc123Scv+GAtONHJYQzKSfVk1NhBjVLSCPZFK/Nh0IUsUwujSIKGR2
UVPxZ6BFXXMBlaAfJ/L/KAu0e9rCJbnf/EhH76ZupUJuuCYmLH+0OtI9dlbbc/I1aJxbh9yWBO25
SjydTcZjy1c7QxPIfRBuzg9k8xHXa1KRyvWECXc1gj76EvP+bRMbfRYJMSQThCNJy76zdOWEViaX
E6kn3xOCkrZaZ4g3ayTGLewqMu2X3ywNU+Fu+k7jx5MX79xEc6wEidVYAJbD2L0xR55BDK/Fjxxc
yQE+a3ffpiasBnuZsgOvmlY0hKbbqbPkgzMW/ME8TPW91bOIrKDJTBiI236bDmb68vNJY4PJ0TCA
4iElJM86S0ayvBkcVFeDQJ/ox1HaBdZc549gYfWnoQSPupaF6dw0VmTuqywcb7VxqEhPYOOkR51j
0rjhpnadWR5I2uCu6SEu7xzG83f4QcllqVb2FV316awONf02JOjxdqiVYh3zRGY+RIDwBeV8DVS4
iJlnhyM/qHc5ooP8aZNHsXIHWKDfzjBK72o4ztuK7cv6590qhqK6S6KJfLk2CxE5MPOjF095R0SE
aZ3TJzVDn64qPls74sd3wxSRt7iwUmf+kbjuF4anU6DX2F3adL5sy5jw3+m6U9r7vo4qv7eqlxKe
b1TYU+C5F7rsrtQhuo77Bdsl412RNj+IJz/zjAovEK2pUndu4ZxtjD7eSggjUdPaK0sd3XMIUyx0
oUVJg8ldTFXg6mV1K/mOdb5uVN1WSzT7FkfqAxgF7dIGubzKNBczqyOMQEMfGyTFdJmM3moY0xXC
9AMO8vBak8p4pY16unGrCNgF0rB4S8QiYSheb64n8k98RwBq63uyPqSb1fFKabTvMGxhJ+tvWKaq
szpOxBn03nZd6oW2N3TrW6PJXelaN6ZHpnfWd8YV2JbwC5zK51Zxv00diatz2RabHLwQs4eyXyuF
Ma3I1cQFojc6NCTbru46IIQY9NP5e9FbgT6TuGzNmPqFHCGudOLgOdnWSGUcgMXhBgOp3oz1wgUf
puw8s7UHeyKT0vGwV41TsUdjZyD9qgnxcTtBjZmFtCG6g4hmsVGq6kutdqY/lhWZm5nqHBoe/G2K
aZAdafhFBRATEJjid9r0w5jErUhc5y3RacmYQ62+OLZSrQgfvZdam75Ok2KsedcRgRi1G6hd2fph
68kD4Wkm8Ml5Zj1AvYfVA46db+FiCGYyI7zwri7a7/GE81MlK/yScFcsyEbUJzIopa5OcEqabj33
enleafYlcp3shseqWat2qF0b82SyCehKdi5wwXcZQIeV2ZJk2Gq6eGsJiFyTULOf8Mz4hhCvhJJj
4HZbb5Vq/bMa0uhWK772HunsWwI5vqmm+qWOjS0DzfABFMnkA5/p8YcPGcIVS7loTOshnEo1sHkN
6QiU0TNuhzYoWwOxmeqeE8AUrSkS3O8m5uBbx0q0B8hRSw1Biy9oTXtCLxhSZPd66I64tNOH1OlI
QW3N4q2l+fImmyY/eE0B9Spqw1XVK9DAbXPYZC1/N0LnSC9dvXTCtLpB7DSSwFFTWYH88gfRuJcC
s/5LCbryZUDAdgmcrgpQK04+rMB5lfMWsZLLpHMCOP91EGYQxHx7TKPzfpSZdmj1ED9p3M5Ednl1
hzG+LlReiegRqJVyZWuNG2SGPtbcxEoFchExc8rS7tyxGpMnpsSGXtWWAEYwD3wGsRpdVriND+ai
uQhRXpCHVYePZGbK2wEiNiSati5LX3qlcinBVu2pFLKtplb1OhnzMKAzVC1TpvFHSeDQFQg2+TA0
ybATsVM/2bWsAJhPsEVmCPaDM+B+MUUSqM68zwqqsKLvlYNasYBh468h1FptIGCwBykwu01Fv41f
K6+3k5l/dVp2SfC4h6vMVtSLJiybTW5UzbbWaXh2Q4ZRWzQXY5USfq5sIz2yg9ydv6QNZvJVWiJS
RdfR0I7LwDPEbb6BqSSDqsnM7Qy3Z0xi0kcqsov1jm6Zlbf99ZxR42Xk+PLl6t2rCf/pXQ0IYQcI
X/liSO+SmLP2bVgyC2t7kv+HvTNZjhw5s/W73PWFDLMDi7uJQMzBKZgkk9zAOGQCjtEBx/z0/UWq
+ipV3a0y7XshWZlKVRkMAu7/cM75tmTSJdu+iBW5M8016EPKCOofrzgLqhWmgQs3aH1XCTwyKiSS
X5uj9+yoaTehWomIrXmcUVhcM75ZTgZBtpsra+ePUpM0TeDMUCc/mmneOR1X3tDUxWZA9bSZ0F8d
8RiRTZPp+ABt6ox47kJajBeJmODQefGnU5wFadhFZJLk1sZ3lkuYc7paJ9HDNRo2mUoLS+3ycsyS
B+QODaO4Xo84wvXokjMSGkbClZA0pkmOiZnMv0i383SYqH8xxFOq5GsiqnJvM+tsiKZAEWTtEZyR
EbU39H0dlb7M7ZUmPmv+TDFIDYSSOajx9tyGL1PpPhhmOGyJqOrXiduPj7FYlo01L/o2ybyaWbbn
3nTe8r1ZWBUvyr/IsDbWGbFVF8IK7Ij49IwsJOV96InUn8yulg9LW93NWApjK63hBxYwezN69nAT
DIMTMfx3j+5E97PywH2HZCyeR+E3l4RSZWPHvRPNhnhjAUTiCrih97EjKEAarQuTLYaEakhw5Jlp
rvNGV+thkNM6VmQDqlgVu6lz5Y511bfQ6Ih9zMmXIsCPANfsS9iMit2mbG9hRa9JjftMYXtFoKXD
45wsPs4F61r0J3PbfZju2H2J3MvO41hp6njt7h3ImAeobY8mKanminylxYjyocsPyxKTcMYiaj67
sjUeVFEuLwWJdjc6LT9pQIm5rO3mGnPSLd4JJHUdySr9bMqSW99oyi8x+NczK+66bV/JYdtaZvtK
+eJvMLxNly4OlzU10MWRmXfnZEtCoBoD3CNbliYS88Kb1lfjs9+P/akhXPC8FEOg1g3hKnd51Qhv
vQRO+lE12kzQj8sJqgMsd+7BK6+P1rCmDijC4IvhEwfHkHjWReIbfelaAU/dKRmgpDVxOuRNuwZH
PmLmdW9ic6so+jeetQSnuCZJR3Mwbkj4OsgZ/poaabJqueS3kjHQK6Zh0E+NYPXhVSnBNFl2Tabn
Dyf8iqIkqwOQEJUMu29IndsEWVrdVAvJDlTP5COuJzkuRDY5mviJttHDz1SXbDlRH+3bBkTxZFQ/
8qsyTRPiQvuozwSdkE2XtMHFL83hPkk7dXGycIlyNgngB10DlXzN8Dx2JGGHQXzkgz3R+MWRCFME
91kZHFgQJ3/Y+P53d/gXu0NUnVfL4v889dmzOpTy9ynyH//IH0Mfy4MNhNzFERj4EG76zHH/GPqg
gf+bfSVMuezufq0I///Qx7b/ZiO+RBKMOp+Iq4DZzR9DIIsJsxlSahGNjO7036SGev88w3WJ9wuw
2fKxfJN5tRv8aQiEwKxYMi+xH7VWijtnKUmYBMBHbttSlOFZuUn7kJK98qlEbn9L09y4UFyAHoAU
DWVQBt660GRdrUzUxJHhW+suNBTFw0DIy6/8Nx5HO1kZQy3vs5Zl+8pQnnOo0ynf9i4YQgWJ82wb
5nTPGT1GMstncmvn/LJkhCKGiYCoYRn9j2oxFjS+7ujeGVzGd1NVSAyCuhvfw0TN78JJCWQHIwh3
Pk0G2t42b0ntLMyGsFtDffR2mr13yTjfG5h9MKJm8ytgi3bNiDoXNMVL92NoE4v+pbjiIkzrIUn9
BzoQ1Mh1oe2n69Qn/4sx+i+R8D90Ar9+BT7yD36r5jVm5Qpk/l2UUCKizoxY+49L6xBC6vSoTuyp
9QkhmkCNOWwdGUnbZXhfC2WfK1RSwMWJuIAwl5t0jynBybhi60O49ANmc4Lo7N6tvyyZGy9V4+lL
OjOY8GSW3dBQWymcSjp5Wupgl6RIjnrt1HfEyT11BYlgnhrPIhntb3Zq70QafmWN33z89pLc//2n
+51WC6Lg990BP7R7RapdJ504TJAw/ml3oBChJayfq0e3LuNX6/rbxxRifce8Md0bAvFDnxG0WWYj
kMaU6hGtWLdsNbcJcNrJ/FD5lbEeeuN0d92oHcfa8R7jmb9qHNv+gdLUOiWGPd7h5wZmmTQI0IP4
mWGMvQslo5K8Apro54W5l+xLdqnRGrt8cPxorttus5glz7TTmcPJXJyvyu/PY2tb+66PvT2cEd2t
3NiJMOrkm8kjF9xkyrD15GuhMBS6bj1+ypSQwqJzxk/FeX0Qc9HuW0impDBRkKqh33ZynC68lPmt
GAxeJkzf+9z5MtkwImqOW19HecYVDDy6XANQmfpIErm3qgWiKHOBm0oG0RXwWE2XiWjRZtVVMrsp
U6c5z0Fhv8xIAX4EMFdwnoz06mwmkQlMi7C2Var1PpyUPBVdZ97E7JLug8oabjwqlY6WHaTqpkmX
bD+3cE/Xi0vaqyE7wmQ7iy/Uvg69FpRjo3d9Nw3CQsthRAqYahLykjw5u9eIU5NJ2V+IFf90ZuHd
JRkebQBqaHxcWDSueojfVDx2Qlh6MgjjknYmUc7XyFnD0kzRJpRzreiR0ITXZweg0udoY4HV7HKI
bxrn9CtT9XSrfDs+Np3ZvIjGVVGRFuYOn//3KXTBy/Z++VQ2/FvyAV4Nlzlb8oLf/bmOicYzATRt
tIfBhu7Uvkwm/QHIbn7UuTdIqrzSQjmu5u0AJeB6oNY5PboCWeR1hk2GfN/w75wGoj7J2H749diq
DKLQr2DdtgEBaik2xnURmN8DQpFfwszSL5WxNOBvJcKIUpGQx3q7kh+Vme+auoUgDlcWiZzT9/7O
hVMuNjkQm7sA/8+8+dev7i9R4j/Oq+vXj5glwH6AR+26ibi+2r99/WNjaQr9Nr7YrUIg0gE2gQ/U
GI/ZEs43rZXZdNmNNr5lsyQH10ODrG6mtkoxuJiS68XhHWQoVJBVEhAQ8J4PMMVWISUR63ASSV8Z
W/HDXGe+h0Yi5v/3fwBWeXws/H8OfsU/PT8VRKTWStkyFD7KjimzpttGJcm28eOiXemKcyZuRs4L
EkwY212ziIH7qnczNr2TNfrxT9495IH2XL87uALO/jgBvrQJMNs2RRB/K0QDHCqtEjrSf/3Zf93H
f/ryXajAmNhsFJysfv/05ZethFs2epe6J3Z2NWod/+RpjoN9q9vimQDS5Sab9HRXiGuganmlQtlV
5R8CJYdjfY09HplJ4qYZ28OvgOPOL8NdOLooG9qmr+7wW8kz7QcpxETp2yyFRv0TTQczlVC6Hxqa
y8FcFoK/84aM2d4dc1KUB9HCFvWW1XQdeHZ9H7/YqQWWIjCCo5YNfGJ0VFuwVDhdi3R6bf1q2bXj
EFN7p0RfkDQbrDvbnn5YCEBaCFAugg2tbGuzOCrcOnX+YTE/16lTIRPKlToULhOv6prHTE0w3f96
9eLQSL7a2EiHjZ/zP/bMz47L1NoX2idG5SVu1DVjo/TLVHrZZgDKX3nyhh9ugSVp5tMfikzEx15W
y43LZlquyLGzmaO15mq2y/ybqa62MBdwN8lw2adTl/UBoth0yAnqWLfXwaDh0iamE+MM/NnTLeIs
7pJ//SBQJP7TDcpriLCMmsEKOLOv5eCfygbOatDJ+GCAPFokzM0mL9jq19lcjBMjkZgkWUE4uVyl
S5psKcXUu488lDUQZxIRl/qQGo1AGEPGGgBGPa7m0pT5ejAyZJ9JUm27hskVilFB7u5oFk8c/92H
TbP/o5fCNSJ86aWIdBoQIlJRjt0MVedtyF+ceQ7cCv0WTK242BZWXJvk05RQ6+iconlR4jC55RPz
dsvhU+I4hagmd9do7AcmIfMY6d7svxqPa4XnK43aGh8lIY+aPFdCvUUhryXn9fcKOqB70RNbDyNn
qTLZEqKeM79YSiECqgOHiPM5LVeMHKodojEe1szW7hq0ifgkv6GM2mHIj6jcQcOFxWwwclia3cLY
qL6xiTEL16rP02fuAfmsjayAR6hGBwmSLLMXzYqBLUfe+MmeoB5zgv/MabDSUDO+DBSvF2MYrwVO
O9VHM0CbZujSj1oaw2TlpHjo2b9AStYwN4jPrzVfFN5G/poceV6DObWXeB0Qze5GBXTmbwmRCAfC
pbl1FitzPgDAyHmdWL7KTwaZ3ZQ/4fyQYDshiYFZzAe+Hs7VrkFgfd12mWujQpSWeGN+nHkQGP+P
LMIMd8biTC6S851oUbJnZhPGUVYhH1lZBGVdWmrLfWew2VxpvSw/bT8PDkG/GBuENoSKBgx2cUu2
y7ghvodsc/DOMPxaOluUVDyFsqHKXE1JG3UQnWlkVWxG0lmKnwKLJa1zQSI7ZWu8GnNRMTrMy1sh
yvQe6si45jJgiqGJAXz49SL9b2f7V50tlwiXx//c2R6+3tN/wuFaf/8n/rOxtUCXuYyp6V9J26GN
/UdjawnaV6RJiIJobGgpaRe79P/9Hzf8G+FatDk2XikPSxZV/x9trQsnNySGgbb2ep7RMP9b4oZf
AWi/35PXfwPJEei3HI7O/+L2zq246T0R+7dwI4gYi6upOVViZrhnBNbsiYSLigw11qiIwIrHRSov
/IAp9SOFwv7oitzx1lbtfEP+NL3kwpAnzxFTxz4zwJihKj+AqrkAjIgMthndxSjsBOFkQgThk1mR
/b+qgGA65Yl0f71jN5Vlt8JOQ5aBlAhbqdPqUMYzh1/WN+sS+mJUYS6I0Pl621Ry/W+ysH/I0Vu2
q8wcyednEXLWvd3tZn9ojnbYjl/swt/csmNnEWqYqmMtdqaS6q0tcxNoYUk4maPfQfHwak5ByvpM
2G16WuZ02puqdrf8oozbivZzioQYtqkZUH+tW+SzA0hO1ZO9eQ1oZoBlyzG7M9LUfhlmiIasfSML
VOhak/RwmfV119eTRDp05kvhyfBp8qaZFh39qbLDl2kK/M1gErTuDOUD/W6zd/vWvm3Lkk6PNTsB
AFKey6EeD56fypvQKN7DrmF5CFcU9a2fn5oyD3dFbQwfOhfxYY49Z0uCR/GjLCQFBEasH9fCteHo
ackOs+WPvrfbTTjK6btn4ddC7ZklTEKDZN2URfBm2yB8PQFidwrql1KWL43BH101akGyNQ6vcQco
nkK73ri5FGtPibJaibFiYVaw7bNWjgzLR7FMrr+KzVQdrk/kUzNofwumVXKG90W+Z0eP7y0VouPT
DyKqDCbLWJ4df45UMSHT9nMrubi5ld/Ps17u4jE11yme93Pq2MYVszt5/ClOjfhDuDs3KyiXS8OR
j6Ovi7NXqvmcsha4gRqWkaUcj/dj27TbSuvps7u6BFd0U926zw31MyTBBVz8iA2hFNl4Zvkg95NX
6XOHhpcD2h+TL3jJxhqclLdPLUQnBLIrQUAvI8aV7IR5i4TFJD4hXIpVW9lmhU6NzOgk0P0zWth+
JFJ+tre5kzdMQU0hIztJSVpObW+dG6UBZ7S0w9NQliyqO4U9fc2ugnT5cTrLhg8lGh+f+jLrp4SJ
bwli1k5/1qhSSK0uQkDwCPtaz/jyF8/kFk2zbEWGsr9yWmO0Ub3TLjsKCrPIzPAFqUW+Glpxgqog
78sA8BOGe/Nj8K1ia7OV/sybeKFIhGK79oeUZH+kvysWxON3bJIO06JYRMRJxdu+q+FRVfk4n2qC
Wbt1gILqGPj5qKKSonMz9/ZyLzy33iwNM2ffnzAJT4590HbeXgrTw4hTjP2zl5IIj3g7BWQacxmK
MJEnQzkzYJowKNcB6CRAquwV6JNCveYKbFZLO8wbaxkyFgfxvJFjsDwNE3HIAz3ZNvVIO09DiAJt
58Y3aVC1977fRFYctN+YBPmX0On3beUsdyOz8HU9iaPX81qjmbKng4xL1lajX99nJTY8a7SgPgUq
mB9zrJU3pR4YCNlN9iZNq2HOx1q6HzGcBjO4pEOFuQeVeoPknGWYMynzho0Ky+F6fEjcpj3PmcrW
HJ7mre75dSMTITKqlA6HQhNGCSamw9JYX6jI/FtF2sPBtgb7UOreX0mLlHCyqAkk55e8a+04jWKp
yNRSc0xN7nSPrA/nH+Tnq/ViCIDAGasiMTclI0BisumVbSip0st3op9UJGMOctNeupNM++mJJHF3
2yiCsn004DfmRFA2KRrjIUzSMYrzMHh1ahMHrRqpUifyFlsXYCZKAM9/5RJc9giCjR9W1hiraUwd
nGJu/zOLQdC6nqwvumEoqggloMYx35OlTDaNVRBUWw+gZgdt0DlRrL/SVnTntiwu1yS7Yxr61dpp
W3Wyr8aLhcDn7QgT4d60ZHin02tCGsOoBbo1abSly46U3UsQQVobol6k7g9yAobNKKbP/ur4yDkz
i1Wcj+m69T3jnBps+EnRHl/UBIDGtdRy8YMxRHhT+69AtXk3HJ+McA9WLZPECZ9gb3BgJSN6Fum+
5cWAPV808tYi73K3mLX1PpaJi4JoeWIxBohpnO29NxBWujINGMnAv6dImUtwoLG8LKZ1oHqgL2gd
y9/k5swvuCLpOxJyeBhVnrzg/ijXWY+sd/ar9B6bGNxQIB3js5n4zTF0GnFMiFwIOEHjcM+5aTDr
Mc9aGM5lWfr7PpHdqiFR4tTzhUGB63umEnZ5JPYQWLJP2xJa1dlfkvQQBsYlRxfFFritUfs618Ti
Kgn2cvL7bRJ0xUY7PdCWID5nLEZ3ta97KnGUwejSZDQqkoF4odJtX9IPJV0P5WMqGkAWcUm93XJ8
j/H4nkpT7YzB9E/LoMWnJYrio9XKuPV0+6Cd0ntcAvfJnF19S95nw0rPEYe2MxYsfILAVU8MTxpE
wtHzy/dsgWaTZoLhRY7bYri68/oFt+VqMhJ9hOvTI1lM3ItOqvp+oZ+KwLEgrc6yBytR9qsxVsAI
uZUZHlnx8GJJaeyLZfDOpZLZ0ZYAspysof422au7z5MxujCXymIjK9CTAvjWtzBI1K7vguZOBR1I
Ha2crdnEPwLkb2u0SekO5QbbRHbqe10Xyzl1SeZXXp58H0jMXQk91JFaiiZyfW/56TXFN3A/1drO
M/GYx3yEzspRIWKpX/mZczNwqm5Uar3FmoVYWbvpHWM9AEbM33AOnufYcp8KCDTHJnPcDValAeRR
Gm7llMdvbT9PO3eS7Rv7N5azYR+yNydAQozkgxS+fhstzpXQLK1twhI2v+5Diz59N3oPPR5Op5UI
MrgI4bwiSLM4Td0J8pSLaqIuh1u3qJN1Gpj1mkVE8ZQZfvVIUZWfqibgqvcsGiI55jB267qzMJom
6rbAe1r6jtoFjBNvRgfaSjV5Bpwwt9yaqZ0QVVxx7NhZv0/Yh6JBGTP/HqnGdEjdAkFRQELNnGUe
utLxTaObB17F1HHH4nq5U+gb17nXWsd6aautF4zTex/A417pZqFIybUPhKLAPkWoVeNGHvCyzypP
1ZuPxQhSh34vkzCO+CA/ocw124wNPKFZlQFpTJvBusxyY89IEOOYaPIyW1luXt2oyUZpmLv+ZhxK
hhGGm3zFHcg+dJwjV5rfdiviBREm5tkdde+6k9foF9tftiYOyc0yxtYRMFmCgodqM2WVsI8dw/yJ
s9NbdUQ3rvoOwR7Ur2RjSZplSo92o4v8wRNL7qCdmBE1EPmFqBU0osmv+q22dLKnq483ouoVdtpZ
M5/VACVR4+moGQvUVY2IxXfYmm24tXoBEncxH4TiQiKiJslurbGzPiclCoxlKPrNwS7QNeb2Nq4W
oEmPwQTFPo7iIUjrTzx1A7resiqgEYgpzXP3GHuBzE/dFIT1t3Ee+Nbq7msCKr4KKyrlVdb61oIh
obAEJmmCsiIPipmI5jSpIqOLYZvAr51+KJ8hw0ggOkw47X3nn6nfjGSMt1fs0QGJDPgKawimyNSB
PPZD0Nw0iv93rf361eHNA9DVbvkTjZs8ZDXfI37YSeGpepWoqWKOZkLElFNw8G1r4Q2mmbsVvf9t
SdFQN+g5v1w88/FqEYs6xV44btC4tZe2xBCX+Vj8jFKVD+aIZ81HtIm8CPP33i06/AwMfSKqPjuq
sewhv9bXmZO8knoLdyMKzz6ZlcbiZ7IJk54JdJSxYeT5c8lEx+DPM3NVP01ycF+gcXrMvqRCeqUt
w141ZpGvTb65C4Ma1mRFN7+OXnyXZAFfK5i+6RF5aBINWSLjddcv5s2soEtkHfg2MqonVMR4PvtV
nCim6NzCyLtR7R0yzfBspVVVHqcyy74lQdG9dpSe9Ex6uJ2rJXksvUVvg+uXjckw22EQofvy7DK9
NeKB2Kq6gm7k98o8zJluHuO4NLsIa0u265GMHhhOVxd4dy1wDKt5btOWrZgKmu9VnQCvFObZtZl5
IU40QdPY161tFaJ16AcIZ2GpHod00lUUx6oSN/2Uug9V2ryLpUW2SMYDbhojNZd1MJpc+xJwJjbH
Ivbv8mIuXjITgWaQjfGOHYwFOqQHn0Ir1D0hTRi/BoNxnYJtfNJloiI+UbUlBZqXkPk+EWB+56FW
a1pqHYCfdhSn3vixUPVR8RuY12GczPeNCLBbVmEhL20SUonhqERsmPX2BkiltbHJCz2gEZeHFFLJ
2UsHeQArIm4Lj85BTD4Pk2l8FEG9PKUYB8mSsHx+OOSO9cb08vkl56iwefJHc71kYrkz5hr9XK/i
XWcPxaW61knOwnPFKB1MEEiVY2zniMyofNnDhPW+ymKLvG3rKmqtroWs5bVn74rrkpXpXU8wlPhz
M4KK0TIrm+81ERrlHQQR7WwKRMzOTWNxC6zQhqXBmihbhFwrRiLLF+xzc7wHH5Xt/RSRqQT3Pb90
1aSmb8toIGleGR0Nb3ffm5r1xaaHxSOIGiSSaTzxlbRBsIVkhbvR0VaNAvH/lu6gUxeh7O2STLvY
EASkFeX0/Nv457/Z2f7yc/0+UwlwnJE37yF6ws/sXYURvy9+VDONGVjt8TYxtBdBZcFCC6MIffbB
wHUWJ2926eyGzD46ubc13HbrpdYmEFi/enZmdbfhR91B1Ypy0Gn/+sNddQr/5bOxz7HwVPnABP7k
7C+toanMGB+9Uu2tUNSK8V7+VUzKf/eH4JVxBUJXtO9//gJwdU40vcN4K22cv/zHN4ptJeq/L6j+
dyT5lyPJwGQi+C9GkgROVCDU/0luQw/MP/THVDIQf0OwbROV7eG7YPrI3/pDbhNaf/MwFiF4wZ2J
L/+qs/jPuaTN38LNQKaST0yjeZ0m/jGXdLCB+oIYHqxSiG2w+P87c0nCEf/5OQXvYRPred3eICMG
Tf+n5an0JeMbS6fHqcE3gu63xi6MfPukGsGoZ54sN3J7ZHsqb1gUdzFceSqMAHodppC62bdWGbMQ
qAv/uCzCjTeEBMFs7ExzekCLXro7KxOz8ZCHWfvSVFTU6wF3TwYorPBRxNl6oFIu4b0UMd3Kqi/h
UwIs7v1zmIF5uG4fCL+xlg5MYlaHG7oJp90MFhE/a2es4yMrR4U2MTDY85Pm9/nLgtAFYbJJFtO5
4tCKTq/J07S9yGLQZJ9Du0sjHZb+zYgsZFUOPT5t29gKbXEdU8iZDhe7JR9Vls0PU2p2t7CeysvV
T1NtxFQb6ToLpgT8pWcmdHuZuhSewn2SjA0TkXreE4UeHm3VyhPH7g55LKy9tJb11qtwndg6zfky
ScuzosmLm63bCfulCBGbSqctHi178jdh6r4lw6zuvHoOI4R8zn1vZ+1hqGc3Si37PvUXNnqVLzbG
jKxzUkZx7wijuHWq8eKZ1LReUUBNUWQWfvqxrXauqJ01E6z8ZJVlEUl/ai5Dy6FOuLkkSq/X7i0p
1CzKqEH6M4z5xq7r21i15c9sgCo25NBJtcc+hkGYvpDV9+kBRWWoA0nbN1J8/pr/Sr3lJcTTRghn
Wa3JrDkOY438VobVY4bp9eJM4XRylBjvpTabB5WnH5ntpO9e7ZOVn0wnRlNz5MFPX7FNdrnJlfEw
1FP5WLR5ycSr0Lc2iFE2tFm7jsP8oS2y7taY8NJK3tgndIx4drU93c5Sl5GaPHtjeXxSOH5JZA5x
8m0JhFGuiqCx+3VW1XTaRJfjCFDKOjlpYx5ZOX0V/P/vkt4tHthfF6QyTHF4EdJTD4HtDozA4ozx
e7Ist67BSDNT3Cg5aFSchH11MW2eaOH3HeA41z3NrK9V67hbSnd9U0/O8soc0JMbFmXp0c1IE1Bu
fgVZOYMbNXk+7ijck63R9CffCfXRTP2bYdANrjO/KoDKBmRhZBN1V1UMLPl4BqPJnMtVH2OTQ03w
bHAjoMC/BDi6wMqe3CGkMm0qdP59dp867Z2B9MpCLxKFhXuh9oDnG6hPrYRA7VQ/zw4OEnbVb6Vo
i20u7W4mccA+eS7TJ0wtp2L+AkGuVrXVqdXSmy9uH2J1mcN4r8bBuBmJwyP6UiVRZrqvHIb6zlYl
0F2m4usiT7zDjHXo2fUNAOgZ8EByY03k6DavlXEUlGyrWNqvg4ibTS/KdoeawabwPS6dPHdlB9m4
w/qIC6yKaSGwq+KrZovKLLfcjKOS23zMJtiJmb6QG1I8wFBLDkPG14wwxTmEoT89lBM5ilWX25Hi
wt4tcFRu3HY4zq0zHgAdx3nEAHJ8QJbwjJXF2BvN7N0ytE4rXrBau6OJu4Y9exg1Fn3x/RyPTnke
a++2bIMPlsXexveX8FtGVbh1bRCuaSDje4Ke5R1K7vfKVUxrGpwyi7TefSJ6ulXamt2bbvmRzTJV
UasK+5QUmNlNKA8MrpKCAAm3oL5LYTty7JLxwXlX1EQ8rEU1vy19KNEccz6jZu/Ocp7mN5hXEmKO
NJvHpsUSZKLSSoKqvKuxvoWrIaQuvU+8GFcSgfSabYlLsVd4A9vOJasPKh9ipu5VV0S1qsJLl4mf
qmZ+m9iTtR3ToGCoEFgYDAyftkr5pPLGa1eW/UTj3HsM+0FYE4i5pMs2sLtyO6cNW23grGMx9c9p
MWvL3UPv7I4gb9Keu8VoPnMjq2fElllvkgxFU36Xt0GNZ7Segn3eMwA5T27rP0xc2I9OG/OK5COP
HpOqwfuuLdke06WcYR/isv3oePrl2urRSawtIxYuAB8lLk1hBDQJqMePtW0Gx2aOCSkJsyrZx013
mKWT3KVFXzyCQAeZ0w6G2KU5uaprQI3pqwpcvRlst9xbMknfA6r+cFUG6LRx+nbuOXFai+kShAl/
tYx9fBgUne7oDMNAZMeC8p2j/WeVu5TmjmuPN92g9T0akMaMBCjnlg07pPNV5qH7XLnT0r+YsdO8
N60pX7mTMXeOZX+DKaO8iwcv/GmSobUgqIgdtv758GLkxXJbmuKAFIk1Ven4X14VeuzCUejBOPUG
BPwhjY5XD4eS03atqR/mCKXgdb0Y8y0yqEuDZ2i23pnRVPFlZOSFgVq0bb3ylRwf4sb1n7lHwo1i
77HtWXEaDH+utG6MLGlyaOU0feZ0NS6HUYJ7hySa+0nQ9OBqS417mfkkHdhO2b5CGc5vnQItFE9x
54q1HZYLru4m/3LRgiC1qB4LXYw2fWMVH1hYlZjJUl5WRd7C3dI4DTTREdr8ytYsFDaw5M0b5D7j
qzfO4484AHmPCnnYVkZGg2skIVz3qZmNI7Kx4b7yOG9Wjm6NT9ec9d3cAjVeOcY1V1DMCkCfMao3
4oaRCgG17A/KQl4ZZTJrGJ2gxnlpAkkgRFA73SVz2b4RIOQ0OKlUceCdk7TYtokUcHbp8Pnk4cYR
rfkah13sbipp5lNkDYa36wtXXuKQ3HUWWQKOeE9GEm5d7DZOysCXGFk2TLktzvPYNUeiDn0Sl1wz
mgfQCAWp5zBT1LKecGBuGhOzlp8BwvLSKnRXllYPVq+7SLMJB6w2oPkX2BGiSWTqoAUBqauyqNrX
vM2uyt+k1xb6Pl1/hxOrqk0HR69ZoRlcfvgUUDexyfbJsf0PN0nDJxjf5Xud6HrrpFgXYVGKmBA3
0moMlF+EJmcsZk3C7k1xEy6ueBu8FhZGqnCP2okHjnR2ZudDjOyJu9hynkOsRDDCS2diMNay+qxq
u94nwcRf5kufB/sM4fUlyONmWE+Ivt6HkHAPBQf6je68e/BC/GHrbLLN136hgNwQON3zLJm6h1kp
rK+wYa+0ATKWGEfcFfF3LBXVE2psyLAOqqZTr/uZvtIw0mhpNetyPBmHLMnvzaWX35tK3AJuImQA
FusAPAwrH8uluQsJ8QjN2x5HS5SEJWtID1P8nV9QG4J5Fzs0XJ5aee3gfoRisQmPQirzXLnzf7B3
ZttxG+nSfZXzAvDCkJj+y0LNxSoWB1GUbrBoSsQ8JoYEnv7fYEunJbnbPr53X1juRZFlVgGJzPgi
driM5YoRcdkAeD0Fhkz0nZ9H0UV25rwZseQcgNZhvRZ2t55rK4fGpPc3AOsQdtria5yafRskveN+
daDOE8UifEv5cNd+iHAl/O5gc9kOlU60hE9zXkJtoj/HlIZjO18KhMLQRtJJ2igVUExE+qUm+FSu
OHwSU9HinKXFGs8VY6OPeajyRwSyeKcntsb5IOxvWmY6qLCZ452ytqBuXmePWIwRjFiQm9sSo9/e
S3wQKaUZZc/Scw2c9eHIFCBObFKddW06FGDO8ynTKHYfsX/c8BvmNyYI8ddwTjq4BF23L+pm2Ea+
VR6aPLLWZjZ/rLHh9oFhGu1LxIDmCnKP4Zie/IOz+4Yi+utTMuSPPzsll1+Sl/Lll0Py8j3fD8ni
N6q4oFVQmIWBx0Xm+M4h8X4jbsYOjBa098PuD94d4zeXEgPAcK6NyAK/5N9nZPc3ly8s3/btaP13
zsjIKX84IwNP4qf5NquWZ5qc4X/UmXpOa8kc0wwYWrNaW02ev9gplu9Vn+hQhWJixcNqkhPG7h53
XZBFmLOduC0o5gyFCgzYSJtQT4YvLgaW25nc/Wefkl5UbT+LiFv1WrFWVcg1XM7l58LGnQ8kxbwl
meqAEOGEdsZZg3E8SwuGPwDToIQ73oNLieR9q/rhVh9eiqrlnuFg+dQRbP5UZcmgUdWZY2vN9Fq9
4Jop1CqRGmZIzYoAfEBUZx9hdW6UbWqnyX6PuYtxAbZFlDLHbkNid1NCDLxRrAC531MGS70ea0s4
M5VpTU9s8gqWaUBQJIVr5qXWrvGxd65UHMY3VuoO3oYHVrIUBOcAiDItq15rkj2fKqzyl15OetBb
uTzB7BtfmQSWn/D92uxrvWg6MZZq7qY6jV5IfnAyTs1qhREekkNRBw5PThJt3niZbVVd0UIrQCQe
qD5so6O7y1WSXTyrUHcit+ZtPXXrSVYH1x17PDccE4eyJ9Qgpt1oJu4VfIFvAqUqXhWtt2zHCu9K
JRBTC/iFD9aEdzaRUm4w7Vv7cK6NfEXGoDzSQOyu02nuT54aYQHO0miOw5zHpAMjG3NiYjfujacX
Zhm0cGefrKLuH3qRsZPqjXFe9dlgPCduFj53GuOzerSbTVn62s04k0YlP+GsKuLpAQjr+WaOjP5j
TtFjE9h+0d6MYducGEQNbz7ml5TpUadla5kzgRxEmW9qTB8p+C2fUZrB8ObMcbZdWFB99tK8xzWl
IrEeJQXCr5mO8jPt9sCRx7BpKJOE7Q9h0S+NPdJnch/XmfXRjIrkzp9tXo08TftgEJrd9k0sToaZ
ckiI+yqm6a4jYzmRYza7odmPkzHcR3GRB06Rqk9aGbVHSy/8rxg23Hbr6IzpV4ZF7/kGno5/j/AD
FxIUTqU9p5HlXGORcGIaPHg8K1/O2Ss9k1T59DHB/Eifi7VPjAgTFX5UPseMxL2Mr65K5VkaU3x0
MUH7G6MacTCFpcAtMkXFmsu1evSsZmmw7Sqi3g1fN6pInJtB9NUGMby+pMipiWRfzV3+rEojFbAT
I/hjS9cmgwR4CkOi80dVGlH3XkI6pQ6WCV/p+U2JClYSXgFaM5MZxogE4VcP76dxsKZjbMfpvhmd
q+GlbFmFSzmaxeFsIqjyoLB9Dxup+vxTGDLaNfKQ3ZPb46wLstqscKtI+6HvbXKxU2J0QQcTkSB+
ol8Ex+ubDtvaTjSpvZKVhCgB0BH2GjA0z8Lv0nK/3IcSL9QqwQz4Qb0fVxEq9PTqJiAl/DUA7l5/
ELOEEkPlnlPa0AgbbT/27ZNgC32nZZ6fMWjhhGxxVB6i0jlXy+m5WM7R+XKirsFj36FSmKSnOG9X
y8nbm2R+N7YW9qNv53I4S5afb1zCfmsAdyvQ3AlTkPhSpNwfywlf56g/pJQdJfwkS2t2/aIG+MgC
zqIP2AgFaYqI1eBWJtAm+TGLmrDoCjGO0UO4aA3GojrAUpe3CUKEvygSIJcYti8qRTobIbNsVusJ
CaNctIxwUTWy6Usrh1M38x6GnX5K3wUQw8/0rS7jD+pdHUEm8dwJvQThBEpBvkHvu9cXTSVEXOHY
d+uMaXrtkF0YDzFcnE7uoscUevUwJBYNtMrtgnERbvQxG9bmu5qDNcjb0z6cYeBB7On/pfugADU4
kI6tJU/dIg5NvjfszEUwMuSECUeYLsdFCKLHNnJFwq9Xz58Ywcmzr0axdYiOm1xGJ2eRpfSoNTHD
LFKVaqqdZpfaktfhamJEdZne1S1ZkRHzFsmrmSb/nkEV4zKMLPldtohjjt9+catYP2ZJZJzmwm82
mmT4FNS2MpZlFgLNyuPye3QJJa/JpFbrZpHj5kWYi5xouuSLWDcNRvthpgk00Gy8Jqaf3Nmt1nBL
IPNhiZcoKUh/GJKKhyEPwzt7EQZxbZLZp/aeWPNw8jl7rLNFSMxV+EIpa3NnLiKjuciNySI8OosE
2S9iZGc5R7nIk6rn0kk1/aO9SJf2ImLGqQoD0gSwRTL3deRoce9hng/mXk1bcpn+th/d/M2RYXnB
YC4XsXTsBLppu0iorDHaTdol6KpNXDT3IKPydbPIrtYiwNqLFOsrGb+Kd33Wr6QM3Ky/5yLML36l
59fUXsaIi7SbLCKvYehXF7DHepE7D8UiBeee5a+1fpGHaYW1h5b9saFlD8UiItuLnNwxyN7Kd42Z
5XDRmzH5BLiqy+30rkfDcdwZi0StIe0ebTlOEGgSdXA6HpEqm52DlhvON774P9Okv9gnm8QD/3Sf
fPk6/s/5q0pef3K5f/u27y533cKyzpBkaYzD5K4z8/we39Zxs/OR6RDb2Ri/58S/zZMsl29iC+17
JuVALgSgf++Vjd9AgBqMoQw206ZB8PVvUEDtZaz549hzaTaBBGgLm/5H/w+d1U0q8nmMyvSmNaks
fhGVYMpeCrcTGz32SWusLJ756URdUyUL7VCZcW0TeLbdcl+NnGodTbLiWhHGNk2vbRThaZhPijvh
a9PmLiML12nnhhrLyMEnhE1onMSDJuMZXs5qQIeq5ZfcXVRZfYoIA2wyhvaxf6snWucyQugHw2K3
25Efe7DKNkQmx06AWd0a8wQwp9AYB7TQGrBUgNrkKcKYYGUOBdWi2Sqa7UzFNw6rWu09xFgDqjEN
SCjqjBcK0REIT8u6kI8SGDez5pQ1Qf+YNG4397uyHjwTTU1H1zwleBghEunNKz6fdus29UTALy9Z
ZKYx5Vvp85s/g113k/P76eufG/AvbkCDlDdHuz8Z51bjL6fU92/4duv5+m+G7brcIT8dUX3nN7x0
ODpMlzvI/PG2E9YyxqXMAbQmHaUIif972wnQmZDbyckxEhbvN+vfuO3Er01VZO8oiAfvvkTwGOha
v8Qwp6LrhtJNvKPeFOqkpbJej5mZ3Sua074U5TAfoKMgoOJjQkzN3nXVd4X1XWwNXaldEaCQYNHd
hquwuvApm3m+nppFrY07ggoHqOLIqWHJBixo3rVduOIb1B73abK78Y6yEAtLzVTk4RFRMv8yLCrx
0PTeUwzlCPX6XUbu3iXlclGXEUsP8aI3D4vynL6L0M67IF0u2jQou/wrN8AhytGtU18NH7ukEfco
7sja/VCHb92idUfacM5wRCIVEjf/NC+aOPzu4aOKmiIwJxm/gTFEOPcjGx5jq9xrTT6AM/dkSR61
kTrPbmuMOH/F9OYWmnZXlSlWS3coogt9yWDQ30X7CDmcGXlliRvQDRk3Pk9sBGPaQF7o5qI4zwnl
Bu5Z/MmgwEMFlld4O7kM3ldMm/OHyYjjW7bsCOx9Fe2TMY92sKa8I1TlYadXqrbWc1E4D0UczQAa
yzh3VxOZO8V4zewZ8BAwIZkjKv/LZOjEXYj+u4Qz8oEJod92gRlmzbEPs3SDNcyZV4xvwUo1yj8t
Eb/30T45Rb/2LoIDMztvynPvB7do9hGBu32m6RIZIPS6wE9I6gWCltGHJh+7o+F6CPmm4s3xcxB0
Wl3mtwbORH3lRXNKZfVUgUHCDvyc9xDXnF50HtPvCk9SPE9KsaF2fc59TtitI6BNm1yW7S0ubpRJ
laCYY+/GcjsqUh3ksrtjlxbwyZ1YRVevq99Y46eeQqC5SdY0uVZvY5TlggcKDTWrRMzda9my798T
Ps6fQlpLDyTlmw0h8NQ6kJAaXmrD51Q/tmizyMFbX7NalzN/Y22Nykf5UIkx3s6djNKnRgfAONzN
mpcArTLgwnY71xiS+3Fy4ytpkcnIv/Dpkj4NYkLQvLckTFnKb8hiTxU4T8ctwkskSRMURoX7S3QD
nr+R5PNkmB8ij9eAXrZO8/lBSBVtxhKPU9AZBuVqYWkscD2EckbS1B5R6XxkgkR1SpEV3N5WG0CF
CMCEjCu3RCulLqLaSL0ugqYzwm0aZxMlBh35fnL4qzayinWeGSez8zFQ6oa7UpW4x1S0z0fdvplr
ERKwbBmt6eW0xxXA+94rhVF+EFO4Lr2WK1CUjX7RMCM4ayl7ePttiIU5nbujWbTFJsF7cWCuP970
FqDckXjUrrGZOxKumZuTI5v+iGG4uJ+MUpSwsx1756QlUTVf3s0xN2ZWpW+Alj4AV1k5uZd9gVUv
1qnjxGRbU/mo9WZ+IUzsBrJEKk6UbTy0ImPV8rCzIgwwv9QdZr14X2N4hpEXMI3Dm9pnVzzMT75o
8yCaubG1ytqnXXTvYOMHb2mkQQg3LkgTfbBXCECk12cH533mLO92NT6yu4rXOkPtg1uJeWPmDlEJ
MzXvnXoZsORztuHUbh+I2hS01Poc8iIh+7PNQXHTqBQTODbMj1YuxLNb2Ok6ztihKIp9j27fuY+I
nP2pHp1csUhJ1hTOCYzcEjvUXvVZVaiMWTTf6hkpY1iB6XUeWBsz3KD7Cl7LvqdN9mY0NF9tIhmp
bWjOALtLvQhG2BABPtbmUvRAVOneWDR480V3EBXIIwxbRX86xuem2xCqgbRp8abcjShYm3DGV4Bj
PufdNq2UG5VTkP+aJBMPEc8aGPImqlMBqe7yJmGMfZtKD1emDqFgKLMZJcDUN7pH8DkVbr9tpVc8
Iwd417iLGHtFfPzPKQFD0+7JG2SqvDWGPmHeGOmPhMfyNzmJ7pNrROLBpUfjrmniaDNhUtjmpLTO
w9x5B1wFEjwo0uIGRHXOohsn/UMiLIJQsbReLMklTdHOeMMglbY5o5aQrmzjVko7CxRIeO6qcXqI
jGLhrmtGcukGn6MxasmNtPHt6bGdBkMqM6zBHktmHt0avkz3CWF2wli968Hc81yGvFa0Bq2JVhl2
8XzU8zreFmi2+PPy8EOMzTyGlmHLz5y/EoCs2pDcmEMm95ASGxBohvq96PosmK16frQGi6lVmLot
ALaki1Y0lXwga2LezExGbphcwbjLHX1pRW7ie9vpjQdikiYAZnqrQf9h1ADxF3+sm1qCuHTgGckK
1ZqFqdnzRFcvcUa0wYoFRCOgNAq3hIVN2RQzuOO+O9ptd9f1sPEQyCyj6571xllOlxMaQqY/T7Cz
2bUrt00+Cg7jMGG7yul5EmU6cYK5opRkVRJR2fQGua/JGihsrXU1f/G6wdmE2YQOBT7CXVE+jsTQ
tmO4iuKp34168TgqoAFJNkbwt9FV+SjzdU+B4p21SLl26R77SKvXjdN+a3v/Z3/8F/tji0MK85X/
vj9+/FqWX6X8+vXHUc637/o+yjF+o0zij5tktrsGuxwsi4Zr0YD5b68jhkbHM9gGC5OjI75lTrTf
vY7iN+LSuGc5uDIegtH0d86mwl02wT8cTgUWcTg9vtBBojEd+rVrDigOPZTUpx4wQ0jIkViKonRY
enEJaXYFWeMVfkxzvKFzEJOTbCYkNQLDbhS6+6YQySq0QxoSMHMaF4nP4VFlerZxEh1iaORI0i6t
tSkiRz0XXL3LJW9bsMBK42DWeh700KECVjDiBKH7pS/rjh2KjHY2K/ragRQcgGmOg3nu+t00QK1c
upwquM1K4lxmK5uXHjIOg6NnUTfeS9nK4oCthnxK4mx76ZIKReNhqUpYoVoYLOWU5GCzWKmZ+ArW
EAZc1XOM8WVnDtp8lEPuo+WZjvM7OJSauU0BHH5VtFF0pkQDl33aeTcqnfX7fiQpU+YcoXvDP+vs
mkhuRdHnnJETXvBs2M9uP6yzpKHHOdXbXeuG5X5MRJC11nRX1RWpsdIstw6wM3xigwFV1D9GZUa+
R2VXDXEf2wGZO/j43ibHMcBspLEfWjycjAWEHmAMFZhClTz0cmafp83GUWSxdmQjWW8ys4HyqKXz
WqZ6dW6c2I03jafh0R8B7htJLTYmJ7ybKCzsnaiNgv4kUvX6LGecNxjy3EQLV1lvPjqqUK9T1jsb
OZLGDt2MHUoGwnycnHwLtlytmdVM9wI0/O99qDAXTJ+hZEnkNCvd90Nk7lBdwqeB3eM2TUPOMhTf
Ted+MtNzZBc8r7wa/yplVMWG8NqwTpji7KXTtlB/aPOZdMPcwCww8WbRs9GiJf/uteX4Fo2Tv531
UnlBExZAcT1L3AnGU/kSaf0QA/7/4MESfYF8p8P8JJB81qpsOHkaEYSq0PmQEz+uNzXp6MVbSUZ3
zrxjqDvlrWUM1TkfjQ8MO2t2+JZo9l5fZXeqarBClNZwy1bPP4kG5+gKKB3ey8TQCpf9B3IPz/ds
HlY+0y2eYb0aj3CCt2nJ8GUF8sbaxqL2AtPAdYV10Sz2E76toCRkQm+J6Ilt52bPCABKpblOGwZr
0iAyq8y5uGqavfdt2mHjvmzOrWO+VDmxqJuGcEx8Yhz30eFJcl9UNnkDz9AOMulFaO7gnaUZMEuq
hP1XEKNNsonCab6dByWvsje94pUpKKM1UZJb8br+AyE269pi2QAYnWfuowhluvHb3tjwuPPhurnm
4oWSOWn52Knva6VBhQuSaYj2zHCy9oOZjwLnjq1nJT5jpKvKPZbkd6S2ZutHcJGFkve9GGrATmyB
HUC5wOc+sQkeu0CngubSTG7hfiT8YDYkyOzJuCvZyIdfUvYJgZ3McJbxlsWG0BDWesDs5FmzlecX
jJg4xTIzUEOeLI03lEy7Wohj0SsHveLgSSyRQUzfZ+uhb4G+hJjExBkctP9UTLX9kgGq4krRQUAc
MBLpw6psgC+VnSu+TCgD2c7kZFTvyTO78BU0GNUrzhxIAaWd8ZJzHrUOEw16AaxoRmgnr808GVNQ
smPt4xW7LFzg9T6p0XUBA8FaDajy1a3rTSan1YlpotWdUPZsfV1BrV5FrnIjBMTSuVWELbd4T/m/
ek4bWWvzHgcOUcxHekrNU4uA2HKSaBuyNpRM7FDgqBT1BTjzhNpJgd16bXNu5KjcW+6OPFG8K5lT
7yoSudfSzBmyYuUnqG1XN4oR3Smsa3dbIe/DwxFMuxeSBgfVvuxBHqeOefTcdmdrOLK4V1PWr8hJ
Nm1E6fEW8U5/wHnFHs2Us4Ff3Qbno5XlxWVOeu8NrnPpnGb4hJ/AxKRm+SccoVD6mtZYZ0pEu65l
9AQct8/1FU3202szNb/zjILDawlnO7ohCSEmkN7K1Bv9IWKMtVVkgD/YIpJ3QmghD4cyP+SRK2+r
ztO2uTbpx4FwyisOIxujqrGWrhMdWDrDfcGPes5cI1lLcv+fBqNRFaZ/s96ndqNOVLdBobJNID2N
YmQ5TunnGAX7aFMTdxEcPCDyQINnuJ+i7sRGveDqxAYj33x1YAhsYpgZMi/rDzMZwwPkEED8RLV2
NgJrQ/PZOAYz4PVgzKv41hXwkdctc9ZTYrHE021pr+sWj+vI6z+Ax7NXpgHXAjdDfMUxNgbDzLlF
pH60c/gFtjVEqnxljCJmaZzFM+eAlmchvqsXtNjubLiz8RXVGF8+xtANmBZjz0nVIurN65l+Fa1r
EprbNKnrTYvp9ZLpY/OEK7s5923XXtHB/RvsSiXtUcjetNYkePTi4ZJV9hwg6DpLevkzXr3kZhJx
/JFkA91UoeHzQ6TDTqAAWtF78M+rwoJGAH2pCxLu/Kudumrnm0774sEfaqQDulfN3V0rbVWsROE5
5Nalf5c58Xwy0qz6fZQRRjxV6JtsqvRDrEcfw7Zk5lPCXUdaxoahTdYmgf3grXRDY6Ad6hvRRvXZ
ThL9ZGkSgilP/2atNCKu2JsZdyuj+4Ao3nnrXkZSroSrNr4GelgOyvGDxtbRrH24C2DmzY4pvLf4
DTmqGjSAcN97s4U9sm+Hbl0Rnn4xFZ0RSlBRsHIxj/J0azMfpWOgLdLFu5t6EY88bAZR/CidqU7u
/tG//0+NUViG2Hf/9/396aWULz+Hmf71Ld8VcPGbTcucC7jDFsI3jX/3jhq6yfCJLTz7eI9I2sIB
/B5mInL0fUNPeIlUk0Ha0WLTj0nv72zocXn9vKFH9WYK5jK6Yh7msUn9pXOuCTsvTyPlnAqz9ozA
dFyDYh8Da28T9JItTANfCF/uuMoKqwovVTkhsbW2rjGanztOnQ9UpetaQYbIIc640dimiHDvhZxY
MSYNDK/chlbISxZDj3K3RYvhfrx0epYAt5tMF/WPnggC39tO5oVzM4hGvmbReAdJ3cXxbGpuIGLH
3eYwOUjONKwn5jw9aN4M9Gzu6AEJGpAP+CEXWM68w6ZIK1WpjNwOUqnjDHVbynr2eeP1zRUwUvbQ
NqH/SeazxVgcUc3gED2k9cmhchLH1uQ/axZ+Tl5icuaNApmY7Ahz6NBjp7LYUNrg3WY0k35q8EKt
Nb8aP5NZRlFiaLyt+ol4MhnfxXZmgiWprFijjLLSAO3PRX5IgXd85qjTPJvSwo9lVIn/Wvnea66m
i6e3KatrRgkX/wjPQ+9Yt4md6HvOeMamSy0/UBh/+DuW39z1aRlDUpsmfd2NdHWsENlZCJDGkTxE
SHfraNjDHtRoce1xKD+xNmJ0badxR9RsuvOlOR0RvhbLV4IwjUtVS/ZxniZfuB7suzQDbLQZKlO7
hd9ACst24DVWysA31ZWP8ewisbO/vSKhucFAFBm92+tMnnCD+VGDsAzuvzGt20pES28gcnjBePUw
JMYMpdbG48sms98YJuV7EB6J4wOu2lr0w+7ZG9ODCPRw/qxNRb31klzbkUGeDwKC3it+MPcQcwh9
mPUpvPRaU91UGlPPnZi16Vb1szMYcBQG0QG2W33/E2ONGOKzZi8xa54SeIgpchh8UbbHtJbRWB4x
z/DsXLtd2KT+ltgZzgVgUyR/R5CKM7so8g2v/6yo/5cVleeYw0zvv6+o93H15ev/0Dj3Un75UTT5
9o3f1lXX+M0wmb07aB0oJIQ6/3eoz5c8Xwiwmkt4dHHGfl9VWW9Ng2Hk+zpKDJQvfVtlQdcZwtYN
7Ko4Af7OCmvpf4iHElKxdOaNUJ/9BU77s/W1aSPs4z4BdM2VJcpDXD2gAHYcojhrsJGwn0c6UbAV
1gl+xvoZkJV20Ef3YlagxoKC3di6lqK484eivDIXerJDHcsrKkO6rQR85LnXrENrUHokaK7Ypri1
V550L/USaDOVcU3V2L74VnGmevJsaeMu7Opw3bW2T4lKAWpi6D1wWslbr/fJpeB9DBq3puesrBqs
TR7oT9tkQKTPp8rXr44hLY5I40ulxqXjokW4h8fVdsmbzLHhUbwJvbzyLq6ldmPiUmAZlW+EVM4j
JsZQ2fFKJD0RrozT/HwV6XTSI/5Wm0JbipOXqaaiuWrmVxv2ZT4Yr5XrPDeT3FaQR3EvxdZHIjL7
pPWcFZED7GcypLVB8y5kR57Zrb64Oi1fejTeg3IG+GlcuwKoNrnAt7QuAQpFXbq18qlaWwV1dbQT
Yucfh8fIGu+9UjkBT0pSNrn/OsKK2rGF20eYadE1qsOMkhxoI8hunQoQaFBHM+5N5hzq0SEzMdbi
ObayY6Tyl7ZJX0APclCxOM45JJsEv9Aokreqm64i57OarG7b+DVJLyjns6BDSnUxGzmT455Z8UaZ
cYsYhIy88k093iSZD/QN8P6pq5NpE2nLexkXLwTqYD4s9grwKYjWvFZNh+pGa+brKPVrZ5KDXPa4
Hhw1SEWn2iU8MmTxm4VlY2MbyTnL1Iljqb33Kt+hTmmBkovpaQ67EOS5Q9TVt6gbkbwQdR2MX3wx
Q2xLj9U0P7UCzSq21WMBSkFN5RiUPADXMJleyoHWNnBkr8AdTgOVdkEat8kla9znBOi711i38PwM
PCQGkJNuPxNZ3TdqeARttE+SuuNCtfZRwWek6R42zG7oVn0/n5xqitHb+Tx9fEOUcnElsLmHDgWz
YFVL/amMjFffGun6gmWx6qKcCezw2LT9o1D5W4F/PNAdUjp9oR6tEIh+ltAGnptLRJokLq7zJIEs
zPtulM4Fx+ozbSDg+IR9qW3hbnGDo/3z2cSK7fpoObiQ22X4x+VIh/WlNrX6M9QwHyRkDGgIWMid
xYwXZ2fEtLARdjD53bBv3Gk4km8cDoBkvYMaNO02i6d808x1cVtq9QQyKB+ORYx0YWq59doZTECG
1rkxvKwmUKUqpvprXIXU6/qgWtZuNo8voQtIHO4LRygO8U0JID98KhTtWutZSIKNhZkE+MypYcw+
IzGCFFM4L2O642jbWdfd1G4aocjUto7jUECnWvImVUei2G0uuRZfy4qhKdi8p0oDLSJ7294Mvf2i
yql9LUuQ4KTC4k1OQBJ3ZwqsxHdImRT9GtD2UgRHRDMqufzn1HytDGZ0sikY1KHAOso0tnj9+Nzw
UK76mcuQTj59rUzh3ZI573cMo/A8Zu6zqzmX3mzGQzi0b9rYnoSTHX946PwHUsYv+2ThARhAQ8eC
whYYcXr5+g+EdBJ1RPjHrNqLYSlw6JsuAN5/wZpOO4PhrP781Xjy/Cyz82o+DzQcKSj63q+7cl+M
felMGLrwZdBWb2RHunaY41ss6H/+Skvw4idBn1pry+Z0bYJwXbIgP/9eo+sqKwXNtDe77MUPWQ2X
5RgRYQpwouD259/07Z+/5q8ttbyXFocNenE93AL8+fNrRlbpxx6+z/3U2fHGlsMjCVQ4fJbYjxrJ
heX3ZR584pQe/8Wv++7i+cPvi+2UzIthG5Ahfn5t0FPjnE5euZdFa61T6OnIN0zHWS5OaZVme91X
r6NU1LyNA3WtA0ijFnlz1S79VZRYR+V86qOBpy69Gr5f0EUFocr0xtPosHx7jlkHGTWOTZWekSW3
hT3cqyJ60u24WDtKXHoPEKeqKn9n21X9KQLKwpaZ5eHP3+T/cAlx+GIchb1Ut8135P8PF6yZwzGt
aObex6bcikq/Av26FjNYnr94nT+MhPg0wfEuWytPcCn98o76o+HRtr1cq6TfD1Kp62QkSKo5i3CJ
YLWWXnbuGA3f5cN0dTu9uIsjnqFijt6agXV52apQEIPqZyr6PWBP+QwbNN+54InfxR7LvV0nRRDR
3LJrlKmeI9ucdiDc6VJMpuTU6628LzP1pNql3NNMxLFLPJLrTke3a5m8IZk4K4AHfIrKq3ZKS9/C
an7yon6LVYWHd23t4wkyKt7/IKIXdGXV6gQiOEfhnK/ItNbKNPnZAAU/t+CIAtdgj/Xnb+R/WGEs
MDSc4nSPBgPvlztxdrWqAYBQ7ucR4B7bCcXKZhPaW2mjtf/z12KH/Ye7Hl+d4NOi6hBn1M93QUsm
yc3FVO7tbLgXMjnSyvgXC+b7nfTLneaifZAF458+QaafXyOJm6zLdZ3xtj/UW5koMxDh/Lqs9Mls
Tciy4ZGz2N7XzMsY+jH0tvyoqfCjTNPfPeyhK7MYWvraU2s/0Bmzin1Wp3oqzoYRvc3OaKH8ARfL
LTxaKbWQq5451A0U+Q3NYx88ykwhaXjRQUzQ1HObfYthwJdo/KbmUIe9hQO0uSMisJBDkze75BJs
kuw80PyQ2dEEop1ynQlTGy6ZOiiXwrBB7+6r0ow3wppPf/GZ/Ic7ls/CB1bDOoz+Y/78hpVm3TF1
Ksq9wTBuNcQFLC+sDPTRZ/zOMe9AwnZrnU/epbCdOiCRoWN4KG67lGs5zMoNYMJ+O4YLO8YxqnUf
689jih/Oo30Rf4VzCXt6mKm7ucQoJcTPWInqCtSXm05Pujm+zhIIkps8KIvdIVlS+iM0tctinTpj
3qaaQuidlY87vx7vI+wSq7Tl+hS0ZKykMzA30UQKfCL3d6Y9P/l1O/zLePuq/l/0FZEgn6Kq/LFk
6D/cJDwzlv9RFMPp7Zf3CM3azbsRe9folWu2OGrljvznCB2uWx39xSdiGGh7v94nHk9hljXaORig
/3JPNoLcNGO1ct+astwYjqzWXpgeqaDb+8zVKN3kkpwnDkjkF9F7UnaAUX4GXUrqpgrJnZV+HSTF
QNLGmTEj5fTwlJMH7tq4oTf4FoKgDGKf3T71r9baquUriZ17lU8n+MA8jLnMIit7CcdllzqCs5v1
M5Uea6QRM2C7uhm61NvCFLq8Hy9noWgwsvmLfpsdHY3e4xSEyLYOMZHliGUH5anr+yEIfnq1Hrus
Opb9+JgAO1tD9+yDueGoZ8/jY9tF9GNgCPOt4RHMzrXRkiMmUGL2Lq1FZcZsn3+BB9iQyVouyLof
toZo5Wa5jaSyL5S1PzrRcoCgHoD7qQZB3bBb0sP0rJqMnqOavw2a+ZmUFbcYissNxq/XtuvWY88b
/P/ZO7PluI1si34ROjAkpteaqzgXKYrkC4IiJcxTYsbX35WQ1ZZkW27fZ78oOsJNglUAMvOcs/fa
SRZfgYzI1/7IUVxk4imJegiAAlJaaR96FOYarqY5V6LUkBe4bbMTRfEeAgoyL2KFCImYH52hvcoM
+yVqaO+khn3dNyCEaYMBvxn24yzjPTmhJalM9nXWiidTxn+3Hzt/8npz1sH/D7GKJ0oRrr4/QWYT
zFXSX/JD405vRdOfG519r6fMIrIzweWXvi6ldonAcNf6nPSWd76I2h2zafjbCT9W59YmbQumqam/
8RR3aJO1Yb02Ta/Y+mM3HSBRaRRoKRiUEOtSXWThW61l/lUl0SnMIftiO0f+ZcHLuJ5d69rUWGOS
dnrsLY5burQwhupxtx7DVs3YOVlDqDHZDyP6noR9cswGcP/Q9qyg0mzP0qMk9UmcB5ByFnZH3mJG
BGMsUwv25nyRR8NDEhBVkRsaIrlyenMaco9l1Z5dqoNDGjvXPZsIRWb3QBz7rTrNt+63/fVfTdLf
aJKYEah16687bBefi7Z7S6fvu2u//dDvkiQERN88MTTEvhlmPP8/1EJqkAH2zMN3xnr9zTDj00Kj
iKELYjmwRPXf8w7RK+EjYPKA65zERPVT/0C5b/zhMAMikJ6fTVGBNukPJ13LoQT35iA89QaaQcxu
hns3GEh6rKFo9xhH/FOvf0q0YTxWNZhigDeeTyhv3x5ga/V7qzbqPfZI2jnffY1/slnZ5h8qHdQw
1BoMaxxTHcZ/eudHZAd2ajJldHsIrDc+UtYbb3aYpjCGQG1gKN3BokCIqXHbEEOuVvWAdBelglcU
xl2DVwgBQ7WoGWYlbAD2g8aBUDbjOY/AlEh4ccggkLNq3iZb1BH4WpVUQjit5h2ISZ434quSwviq
qygXkUWk9BYEEirthW9nNWwnJclAy4ifEme2f/KUZgMHe7Idpf/A/EQpOvzBs25nw+k++GWVrQZZ
5yhWMpjmq25I6k85mUPkEFskuvYCzOo6xgo04V/EzLjrAzPKTgDJs3QHxZ/knQTE3R25sASihgMc
i+BxDEJtL+NZnuowMfZdZzVvsR7JGz+HmeckzQUQz1MFrPvBLeIR8OY47d2mayEDR/1p1HptE7sz
M40MG/S12sUvizDaaeRQ0lzojPKsCf9Zt5JmpcWg2TdzmkVPRG5V7krv7OFKwzZ9BwgFCpcbTc12
iPvxMnTne70Lsxs5dUhqZr8ATTswot15qSY+oSRLVn4VNRwXIcgz+0JSdtbpz5z7uLDWeeDlt3Y/
u5DboRilVwiDG+tDEsISGQk+vJnneotU3KQhmA0Pk66PBJWB4Ridyt4D/yx2ldtG6dqQTrduMAGo
hC3jMFpBtYWvqq0srFDIz6vyiJJ/WCMScu741usL0gzkLiE18xRyrDopL9spMvQs3ASFnj2RZNc8
lC7S8XowSOpNOw3DQhPPUPDM8dLqdfedFqmzA/1Sb8EHwODnuLPO6EBtzbhsicqIerGb6wEGT5VW
0WvKY49STo7rFjnPamauctZdMJtgPvsLe2gQBonY34s6yraA0DnsDyQHzEVrEQGYyx1neYRbEk3X
JiN+PdgNCA7ZsJAMPtn8kjXUfqZVnt9tbUrQVxqmEdDqafps1mFwVUPi2njjKA+iEvAkWo5mz8y6
SAYN8AMfzd5J5KYcrAmxYAvoa8+MC1iAazcNOpA6d801eu4MGwXZS5sszEJVTQTagz2yb6+ElrVH
HxDAhV/ZgMlGvsdjD5G3WeVGFl2GqMwvgGzx7dHUndeiV26SnpiKybQTVFKBeINGM8BBzgb5MA9V
celnAJtpkdXpFQeCgHg0H+C+x+lxRb+khhrDRK/fo1q3SBpo/eHOLeDD7N20dI4pHBo/GuZPbj+P
22BoxNF3EihjDvx7BBgkF7ASDs/EcHtyVWGNQwwTzgUaGXZqcDJA4ycobNJ9KQLX7zY2aDMQv0C8
+2uAC+JIUheCBRQhLhiani715VS6rbnyp74/lqFT2tCPyKUkyN3LAC6WjuQcEpo3sBSGO0f2BiKc
IuoZ+hZNdkNEZrUfTC9CEkjGuYbyzQC9V+EauHZYDjg3gBOGwpflj4waa9KgrbbcjpkJHqkGM6AR
Nd9sXAUfoB1dPrgMKbON0cVioytMgcMzCmBdwQv62ZZXgxlFt7E5pB8qBTnwFO4gnBDL5dWA7n2h
IdhNmr4lIQoc3DCKl4C9xblt4inTniBuzsoQD1zBXDgL7sJcCCtJl0coFIOcrfo05cbwHJK1AL+P
aYfRAm/AfLCZNUeD/6zQDvpCeWgV8CHy+2TnDr28t60SHgStxOjOoJ3zsezz+OxOY24cGtmEtzBs
K1ifU5vSlHCj5qUkHg4NCzgzey8ViCJQSIqI8pZgc2Psr1qP7J1VaAwc65BEIXtN0bITtKsAF3YP
ig4MQ9t/YX2HF4Gsd1e7oPIdzecSoa8j6GNtZpxkJUeZmuO2HgBrsDaMx0TBNsChGfzDQ8c6z0ue
YjNfTXqpjPYzsQ3+QuxA9OReGgvHw51MxfRowHvgo0eR3uMcuGg9x1luG8GC0UXOvB7jjMWH7A13
20TOW2LhSB88QV+tHq1HQA3VMWEcf+ujjuKq+ZsJsYIH0U6tG1SXlyiLWHLs7DKcvAAYCSm6LkAu
x9ZGUtVyjXoYZVJVieR6sslXEozm+YF5NG/Id4SjMSgmiq3oKOQJmZs8mgAjSP6JPV17oQ1c30nT
Gi+EXYts3VQRzBXb7996xWEhZsrdSNBve3Uu+ZQpXgtPqW0xnVMYF7EgXSZFd2mIC4lWbKfywvIU
Ica2IlAwRjO7YttNGpBSyBG+tZukFgPkhibx6CRtW2xrxZoRC3ZmojuprDIKR5MsaJp2wdR4kTug
VvEUQ2IB2UATl8+kVKWPHOG4XcQfiKS/0XSRnifduU/HwN4nCx7HEhKSRkEw41WzAHRoMpo3tBjg
QLRR+ULzvt21HcwdIDTcLyIzQPFoVlK8WHad8zsh9ZiK2YNVDSCEq0g+Xt0Ylw3LGW+RIv2EC/SH
cxcAoMyDuL5yXTN9xSL63GiGs0GyaQFtSfzqlKBsdle8dRpmNQA60brLgoGGR1nnZ6KV2utSYWaF
As6OC3tWYdTClVRI2q5pzqE/sFnjur4ipSeCFMQrdhnjSbU3SMNhBzCVQxNn5wLEB9kqm0BhcIFr
1J88+kU4K2bNP8EPIGuFfjoZVIA9/e20MHWlwut6C2nXV9BddPDwd6s4g1w6arOLhCZJ+svamG2A
+wu5Vy4UX44n8qO5sH2R+MH5BTkGSHOh/+o8A8HWV1DgPpHsBFC6ivpArpEYN+MQREDu4SBCzsws
734cgQyXC2+Y/r1z4cmUhTbyVQBF6WTJFe3rdFyztOfwWLzxUZL4fYYX477UgZfsSweAC+OvFEyf
EShmm1sX+7qRWEy1MEcGHRkzW0aN6HIf55VxS1hwlJ+IIPVhu7qEUBW6iNeZHurHyksyfV0o2Wlj
dQ4jm69yVOerOHU5ZP9b1v1NWUdlobpff13WXQFTKjsZf1/W/fZD38o6aAeq4bhYrr+r6nwb+BcD
qB/VEvp/HBpkDt5oz6Inpi7+uyYNoIKp0+ild/1PTSZ4Wn7sutH+dKEoEJyFcMK1KJ9+7JRIw0lq
xRU9obznQJlloUNzTSz63soR/bPONBgbpV2e42pS+BAOv7WX68a68LtkC4Vbv0/adJ7IVxnTm2jR
FKMZ5nyOzphsJOvUKukxUl1UyLY3etaqDHzUyYQpMZRXkuU+G0rYLkrHXKJorpS0WTkK97nuR/sA
+8kePQEa6DDXgg1Zn85+jiN5TJVYGipXsJnnhl3Q6ibi/nIlrIZ6PbykuTOB/ME3g8uu6/eJxsy7
L8rgTPuf4jRWdWqnf0rTuXx108y7grAbLJMLYtOVantQ+m2stc7NEIweOSmOz+sWkcd6JOVGHLAm
am8D8u0vrno7WZS9Iz5Y+Tkc8chhteXtjaOq27cWBCEBePeEvp9XfEqTCQZmYn7G/aGvExt5aZVV
FuqEKXSuQ70IL5pq1t6KZbUg09q8JsO6gOpaE/sz1ucEqiztYq//EFVte+/7LTLbTJvlJxG44ZPU
Uo6anS2wNjshGNu5IGm184pjpqeg002FFIwwfIIpRcX3Wi/cQVMMHx0KbL7kIvuEj689+IpWaChu
4awIhrEOg3kO7VMq2+okFeOwCjJyVmy32bmj15gMsMkkRiHRmaR1KECiv7AS+ZY6fpsiKCLGyy4m
3NhrWeYOH1TxFhuFXiRmTEO8DY5xrIPsoSxE9DFtY0qxoagszHxM87a5YyfGhqoeyCN6boCP6OnS
Yy1FdwVxCiBkt8AhORQGu0iFEGfhpLPxKIwkSkQVKMKp6AuINkyiGCgKxMBZw+adRMVt7GCHFVga
LkMi0Df2PBHfKL38qmq15NJckJbpgrdEswHqkskiySILANPvQvGJnAeF26psZ+8qVmZZ6flhrmYM
Ir1iaZZeYVzPue3fYe2I1my0pDHB3qRFsHGkfR1nHG/IZU6POoJJNmUF7uwVwxPH9niB3wqwZ6IY
n76ifWoL+DNYIKCUycZ7vaBBI0UJ7Skjgi0BfsZz62dBsQ6Lursz8KS8yEmncV1RzmF4kpA/p3Y6
N2CCvIOw0gEygoeOKgZHAAtAwUs5jAAy7RTTlCo1uqj1SHzqnBqlJl0V8KeunCGhhoX3kig6Ki0I
QKkjzdMHrPzMOKYFpSoQV2SbShFWPcVatRV1VZKMrSkOq1NJ68ronOmzXUkwrY1hlAXZ10EBWU2B
XLMF6loovitbMn3nSVFfiRFsN7mmULCtosJCIGiRVMg7o0GvxqTJa7dShyNLQSa2nmLLomgEa9xj
hx5FFW9ERHU7KxptWhok++kNKvEFVisVt7ZcELbINty1pri2vSLc4kmz9+WCvSWlBgSucKX+bCou
LrMBMllMHdewv4BzXcXQxXFbXzOwBqzrK8auXHC7nBOSj+kC4a0RVQGUV2zeYMH0QnSpXnpXwXuF
4vjWuo8CxVZ0X6E4v+WC/G0U/XdSHOAkpd9MWIzCAyOS63ec8+sXB4nx51pxhCdRGFdEFwEXbgcF
GrZsFB9rEszqmwgGOvlmZsXsPBqCY2RqzDYMvboPUwAdXuoP+FXwr+bkNW8cLK1CeVt75XL1ld+1
V87XRHlgS0PU+xFbbFjY3b5RTtmYwXa/ahYDLZa6Yo0YBwaU8tfOlrLa9gau21L5b/XFipspVy62
HMWKEFnt4NcVElfOx3kx8k4uQhr9yZtSh/ZH9NXx2y3232DEm2fSjroxiOLZQamSZyfP9LNjuOEt
y+K4J0NnPvYk4dmiKM415stzZzQBcLE4CR4H0tWfLA1X1Ypc9eEUTWH66BUOTYsGc97Zi6viVu/G
/JbpItCqMIeEEKfi2g8ZMZX9TPqsLUOycdjt1mM+xUhm/G5Xe26dQP7KORj6evvUOSlk8YYz8KpB
k6jO3yZkQdk4HGD58+cRdS859Uy4JJqce+FJ55jgMn4IO82D+wW647OlFLjFIsZtlS53UgpduoVo
dZVqN+SDv1VKyTtM0ib6EgP5qHS+YHGR/M61Nh9CI5t2iaDowjxBRl5L7F26CIY7pR0m9Rz1L53F
NRiM2zoDRGkrnXGwSI4nIw3OA0jfEkjzFTndIbA/pVCelFY5VKpl9X0+SKVk9pNZHlgu3D0yaIRX
i+TZNAf7LvPniHwzERMYqOH5kvVIoWjr7UTOtjvdYQJh+Dj5/rFX2moZlPltr/TWvE9IrwulwrYW
QXaziLPnRae9SLY7pd4eFiF3ozTdShewjZTOO6kzcdMp7ffs+uORYNwYsScxOAUScV1pxY1FNm43
KMhjpSUnSjg9NkpfXixS83iRnUeLBB1yp71GtOrSbU3S20Bp1amdQby1hvNsKiW7OaFpb0lrwBO0
SN3nYbDnrZSmWd4XiOFjE2b3to+IZbyoF7m8XnjEb/b54D9jm0vvcfA09a2zyOxhaJGaOTtOatOQ
AzRwaTptzD72VaNPCwLBPhs/33ypdPwSQf/oWx5UOKXyr8hugcFYOAGzpoFke7NMLlqZNfmha7UI
RYRlx68m+oBiTbykbm/lMMsQjBXMjdlBHDCOfbsvwzTWuxOPrMkglOAJTG2v0I+fOfaOH9NUK96S
fjRBYXfuA53S6lTX8QPc6WmbW3V+hBRQrXHjkrhRjmcnm2HidF9EHL0mrfPsdkP3CfwWUAchsV42
dvfsLvFPrpfdEgW6HUSuXXJzzJUnq/RYpG39xZptVA1tRSrFaqiJLVjFXZwdZDm1dxbh7dO660RE
C1D6YfhAVhlV5mzOd9HMeQcDwWDn2urf6ul/kp0zdGFY89fV0/XnT/K1SV9/qJ6+/tA3K4+NIZ+u
m42DzsG4o37ffzlyAisPYjqYcIylXAZm3zTnij1nEWZEANEyMWNg9k1zrv+TKZip4M/faxVIOiIL
yUBnzlHdwVz0k94mszqNVTbqL6189nE4zNQByviAAzmZisvejcVU5cdYrc/RslRT7g8Ptlq/G7WS
Z7mnZNT8+Veg+50bU63547L8t2onMJdNwbSktivmuHsSas+Qy/bRq53Eb734GmcajOJlo6nUnlMZ
EW7bybauW7UjgTqqd3rPJCRN9eK2VTuXv2xiAFHSR3wpw0ksm9yo9ju9HoLHTo9U/h+y5HMWefmZ
ofMjVv/5CEqKXVPtn05tz2e2ZXkeQ4vOudpnES7jRhqs9kTiOtx+BeYgH3rcioXWAc4le+hiEB6u
gnkwBqIBBappvK0V7MNxnegj/J0OibCCgVghWBA/co17d0GFjE6y7XXSFxAlF+OlVFARGlwfCC6H
EYCaBOaIUPgRXYFIGMBCBYFNkjKSaFbIOJuDrtAldVxgd6WF27zEC9uk5h5+yBTwxAPdvtMUBEXm
8ApXkUKjZL3nkrRDGh4h06BTcAAnBw2aypAmNJITHKWzQq00ICEO+lBCbImK7rJQSJZoobO0CtQy
qR035Ry8bjmp3HhybA6TQruQITFcCoV7wXtmveL8LU+Jb7T3zsKFyRUiRgmVUPtHJqG/CiEzs8bv
asPVNkWQFXdaq1v3rYLOWAo/M5kNIBqFpHEUnIbJpHZtxe4uZBt94rviNAqWxr+tFdjGggK1MxTs
pmjB3gwKgANdSdvShx8pIprmhu5veZkoZA6yFKw7yULS8RVUx1r4Ovh+WZa1hbszKgSPUDAeBBdw
eRyF6JkUrAdubL/z4GGtOIy/ot7xLgoF90EKVF0LiZi5U+gfzQQCFCkcECM6yEC9ggRVQBQOWQg4
SFcIIbJNklu98pkZKMBQaic06qGPaijeFYEoWGhE9UImQkTZXQCkdun+AC6KFcLIyoNkk2iZ/RQb
uf6Rsct4CSRG30YC/BH2CUq/sqr7O6mF83OdVaa90jIEGZUdhw++SO0bNR2SXhXu+96lWNSblkIg
MrepbbUgivo5zXkmmVfaZa0QaO1ob5yG0Rxnx0Kj6eA5wdGCsnBkoi+PNimW2cqrDTHjba9HWFIy
yB9ZRqrbqcjmQxHWOkLv3N7GWqVfMVEr8Bf0hHUTHu1taTbWN2DWwxsZCXPj1I71klFComfS5Pix
CSIXUpjXTfecEqwQ9kOmbefEiA62E+SnbmZzByPkDqTuaLVNtkg16TdJYBkGZNsiza8BJ4ePWIbr
auU6ZVCtRV0HrCRxNUN/K98zdAneqnPy8cqa3Xzi1thxuoGEqT2GfYNTIDFsmqqZFoKjj42EU2dS
1CbJqTU6rQq0xJ2Z6cZHiU4ZJFtlyqomSbikI3XFRN4b8eWiS+pGcyf7Cuc/E7TJoRsz6l2j3wfN
ZE7Oh9DNkbng4u76A61q3vbTXJmNNq9bL8nJLRe9mQ73MhlD702EaRAV64g57WB/yNE81u7Wq2wt
3WkwwJL3ya0qI9173CLJxsXm9m8X9W+6qJbjKGHqX58DPsbNW1k0cfH9QeC3n/rWRnX+A4MSobWN
ahcB73feM9/8j8dCCTQHfiUapu/0MQKgLI1UrL78F1MRZX8/CZjoYyyX3ixYTJ04r38E7flRMonn
DPKrDZeIvqNYDHI/dlNR5kRpZ0fOhR+W8iBzY7y1jUIeKEZSnkPZ2F+fpf9Ro/n1grSUiUM06N06
i17nO+V5yqeuKNjtC+Yk3obIViyifjfewqNTiMTGuP7uhvyZzOaHg89v1xMO35dPmYBe88cPyF4/
M/5zBZHdkfOa+FyApcx4aGzW819fSnWef9c0L5fiVnOvEeXrSqT746VkNERhlxrigl6b/Rq7iTwA
PYDY4Zihcd3Os//opolxLUGUn3996R/lg18vjUmbp8HDl/gHA8pQp/2E6VpcNGYijuTLcSRgLURW
BzU+/xvl0k/C1+VqPIGGb9rAVxVf9ccPOlJF5+4Yi4uhZPK3Qqap96sh0dHt962bhEDJkio6wWhq
ABPIqG+ehFES7jdmsbbWzcK//Kcf32HFxp8O/YpAz5+VVOwNdKiAy194g+Dj4nGK97qW8s//71oG
Qhd4zhys3CXw87sHOGTgnEXTJC6sZjCuO6E17y5Wr3OXmNXzrz+W+h5/fKDQv4G1takWkBf/rPnG
biY1pwQlz6n8S2OyL3UmlpJfX+SPjw4XQYIHuks3WKV+upl6nwiEGpm4mNOmvEi8nqTvRYtrzCl9
6F9fzFCv288fyYLka6Jy5Sv82Q9CPqDRz5phXSQA+kAR9VyTkSKg6Uw21bNXp/arcCZe0tgfz1PU
Wkdkutbxb/6MH6Xb6gl2MN3qJmMk/gf61x+f4ADteBA4qbgYsaOTXlwYzIgC37ustIYntPbzfJum
pnSIMOwmY7O8vHbVxHtWEHn49V/zZ3dAKAswOBXYbvpPS1Sa0XTI04qXtw/GM5LJYTXQHboQlPrb
f34psqgRYxKHa5k/P1EEHshSurV1ETNOOPu+stpoGSh65NfciV9f7Me9heVb+ap1l66tyeX+8PhW
UQtCqq60UzDB8QWNIqtnok+r55kYmdu+mFgdfn3FnxOruSTzR1XiYvTmBqsd9XsZdZXOgrE9mk49
QLUtvELL6OA29GgGbTzHTcB9tewZUqOXmA9xyCuVj/iAXI10xA0MsfrAyEoelhUEHmxFyMpsxhx0
I2Bom9go/+5LAiD/wyuBExRONV0AmzxiC8L0z3Y+5u2JGHNLnJpMJ3pSxTaWKsAxNJq0gxOVTwQ7
ZlkiiXmk2JycrcEvu5NSywjcSzL+xgBXRbwO7LClNZ237yO9Rwdd2Mx7ZaLvBq0qE5rZtjGAhzJC
ipo68sYz1kt50JE0vUvdsY5IcFIJ3c20joOZ1M9t76J6D4V1kglf4DICvIU5o8mtA37tEam4lmBQ
CGrjYAD7pNWFlmPY5H7kpAw+YiaTYReTgpAVNdfw+KadJpoooj3oe6IXqMS7uAL2F5VqnCiM6lnp
xua9FmAGPSGHKC+IqcnlZpJGEZ1QYrbvKVEnzzjQzeqUG/F0JpBkvGVQqhEXi4UvfjEmn1vmzpaj
emkeXQK0ejx7beq8ErDK0y4S036d6Eu+oytTO3Tf26/5lJpv1RyYh7526zPh9vneHtyaWN2QKFrW
X+C1g2+zwxiTYTxoVs1LqmA7xJcyyx0F32gQB4+TAAkSWFbzLhuoPlppGg/tbPL9+EPgnpsmnB9N
2CfvlS+4T7kz+I8Gpf97im2NWFarZR7TMLdae5OEY1RN/L9gjFlHPyj4LSgZjYe55XsD6sbAbdnl
CnZqcEzo/8hnimRyCMUI5mdyXZ5sECmMVfOCxvQpUgcTDfbRbVjn/qWemOM5BTo8bjNd01DWFJlx
DUmDpya1dPvVdVK+zSlJqnbdlx6DkF4PXOdUqfVS6+mF7hvR19neHE3+GAROab6VLfuiU0a8f6Ue
Eo2Tz55xHWl5xq2089ZbB6VXDxsXZlP1G7DMKHC4rIj98x8bHQ7bHlqcp0BJ421leOxFLTXpuJsy
1fBoC9u01kp2Ryc8m8O1Eef2a1/W9qsTdQi+YF/7mZIJyfvQms3DPA/MM83QES9F3yPxm+PpKqsZ
7dXNWBKuRRaHtzOYFp/irOxhooORZsoxjgxy57Lb6E3gPOA8jfHSOx7yP9dOFJLF0y9yEeFOzlPf
X8d2wwDF1sR6KubpIcXwsUXWV1WnVFcEJ57JaDXrTXHXVo0H8iHo8s+lLdsvnpjBxxEdc41DlQih
aUwgH3YpK9N6zli4Bp0skVWrTdWTk6Wy2SEgd97G2QUw1hbFZdmQ/7LTLc/Fa9UxIqRwLZCuduW1
n/QGrns0By+hpdnQj9vqanKUZbKYggtjat167zWD84yXEktJUc0vTjiUJ4RH4QSAXcwvRVajhLRN
UtiMntvoBTaW8HQoXpIqcdtN0UfItHXp7tVhFLDPWKvRusy1bc0ZUGVH5DvYVcAKIkyURUlOU5c2
Gu3vGs2ejJrdZHfT5yAsh22kxdrd5Jf5U5z2AjExKU9VEeNFQXq8QjX86raC9yOetU1g5ki+emns
ctTNifS0a2zpOsu/FZTlimkxHnXHzayyRSToIypZScf1QmJymrEaLjnpegfTMiZ7U8T41ESAc3BF
1HCwEV0YHb2yatZEnGOQKSdta+Zl96FKnboie6fZdcrxWUT6W+aS2IkqFSGgb4y7RgusDT1+giSD
Nr9jV4K/MLO8XzqiHoi01rmjbmgml6XrM5xru+oWAxgPteZwInudgta41kyoMysC2O1xW1aE01w4
Y8ABG31hW69Zbdv3UKL0XJezb6AKZyACkrD3H6ULt3TrdaMNqwyWEpMFQEz9CrF0Nq9NWyufA0OM
t9lYa2uX/NlD2/jsx15nB4gPTFFelDJTv80Yq2aPl4wliNWYg1lVstqO1FFNk3CEc/rZeOgrwavf
RXZ9ECNjuoNtpNVzVfHYrku3L0kOzYqMiVIdcp6LsDgYFqmikOOipspfbDJvqy9T1QuYZ5B1tpnb
NtsiEcPn3BvqcI1BzP7oOwFxw5EPrKmcQFwWYxh3q8xIok9N374mlW1tbRGH4TqAC9Q8ZUSEa/fx
jHj3wETKu+6hJ62dLE630TDUh0Rz5h1ub1h5jEFd5D9i+EA6an52wuqLmc1P0ASMm7RFg8O6CkHF
9HE4iK4y38M2Ct/nOB7u0bdx53jjk23dp8TbitBVotcoBsNaZ417cmz6x6jyMujxjcM6joYeyfuh
JcLsQtTldFU3KNudeYyZItJVNlCjBnGyVobgR63ox2LLmDO7GqUUN3M8Zzc037pzHns1chSjeQM7
kG3LdrY+QecgTMup0MeTgkS2HTkp8Tpl3LcaOqRQq7zOWC78wN4kuSdOBKV9CiptuB/aMEVn0elX
Mg7tl3Rw0nAts8hnrywIZahpMF/7uGUZmNrWSfMHOCBRHzavZjxU+BEt+JQx/UtEYlBeRYuFfm+w
5O00DrOkpuPNYaaO0mfcRVlhPThpVSFtsub7Ko6CS8Q3810b6eXKZ8r93GU0obd604j4NBKRYa+9
UteclRcMXnrtjEgv9n7UNQeVqHWZEBPzAXmQ6a/Bhef4BTRXTw8dD8/1wA7/xejr5qqrqn4/shFe
FEmTI+nwo6BBxE55EbG47ZnLGvG64mShrcPe7e9Csx+wqScBykxIvvI5HVu0VlNmX46xyTJq6RA6
1ihAi2Fj5rKjZUhY7lXrTrO9mtBae0g3XMGCaAyfSxMEAJkI9bwLq1AchajNrZU586Hp3Pjc5Eb9
AVJL8+hlk9j24wzjNRnjVeo6xHDpEXLmcU5cbKCDS7Z2wPRZz1v2oVaHzREwMMg2gq/qtp+pU2jE
unJtAwS8QZs3ftDloAEhbNG9xhaBDB5Nc5fZAjENdePCTS7N2G/2Hc/ulyCLxo+VZ7Vvgw1IGae8
E+/0yumaNdmNMBiSMmOCEaiMiLlVcRFyiY5AMvLFVmkSTaKCJWaVMWEtcRNlWdQb0I2EUCA5kSBL
SabQyKfbmktchR8qVPESYqEvgRZ2Jwi3SDusQZog8QLqCOEXrsrB0FHX6Rh6SccolqAMbCjaXaRZ
3LWv2eZo9lXS+RgtuedLifFvL/RveqGmpVsUrn/dC73+3L++/zgR/fojvzVCYWn9B7M0dS6dGh8F
J3XQt4moScn7bQYKd0t3LdfFE4evmr33v51Py+Y/2Q6lAT1RLH1gVv6JM9C0fiy8SA5y1WXMxRpo
uj8Xi1Erxr6QlXXlBo37OA3CPk6WgQ/DnjOSvQmWA9NZlSeQ57gmSqPut/oc4vdyvGzfcda9hLXV
mU82gGfMzJlEYjYi1V6bFfl7m06KCeGZ6J/alAKmDSdmK9VkMpvqPUaDFcGnm9GJin7fEeB5xshW
Phd90N/MKLpHoiCKoSNxG7E9vQk57OJcpAdXJvkarnDf0Xeb2r3j8yeuqojhHgyMEoc9BNLxVkyT
6+yi0RvCA32suduMaYLPscuaaZVNafqOHLy+Yanvc/Dd+XgTBGVDcGsY8NnzilpoxeKTusdykgL/
oAEKYc/cgv9qNXZlnjoSZG9rdvzpGGoFHuWcQhVtOH8gVVEwE0rIUCO37kyvKu98kYTnGWDgDVk3
ZJlj1N8MUe6xV+Nz2CeDdA+5T5m4TkQ5k9zDDO8WOVNabDQhR06rpK9/aKuqdWeilwKd/PlDYNhx
h5nbDAENe4x+wp0r4ZChKU9yWejrlOL62nLnvDDWLdOdo2iMEkNzFdaRs4bag4ky3cYwVzIGT/C2
G+vcpyyp0nIM2mB2HPQjMKpe+MGW4a30V1UZynzHCMjD0IiT2+FwokVJcBMYk4aBke14WNvs5yZf
Zsdh5rJhlgsDviawpjzoNA2DC1NGWbCpRdOrB8edD/OY2PNOG3GPgNIExNaf2rbrKv3amPKkteRK
Nk0/MHxKB5Md7SkMSOydnxk0TYV8b4e6zXNga/OcBXf/Lnj/iwgEVqD5yzSzj1OZExzw4+hn+Zlv
K56uhB50Ox0GQPRWFdzv24pnGEoDQvqCEsTT/fl9/WORwwuMBkS4gjGJRWvyvxoQ6K6KAMNoiDXS
Q2T/D9a/H5vLzF50EIasxhgFkIP4anH/vlUGtBXlMl656y5/D9FCRtmn75b/P5m8/CzU//kCP/Xi
5GhleTVyAcwvK6QZq85/jfvr2Edk/v7rSy19y9/bynwYOsm0k03LQm+D1OWnFupkNPBc6QtcJXZG
s5FaXGNDQ2UHYYqMg5dmmaFGJblb+l7/OmQtob4wctUtvQ7z95LYnP9j70yW3Eaybfsr194caejc
AQzehAR7Rs8IKTSBhRQS+h6O7uvvAlWZlVKmpV7Zm5aVWVaVUhEkQcD9+Dl7r+2EuFXsCAvCLmhC
fcfZQH3F1YXL8sxq3mr2Sae0PmStlwTNxU306SRtYqQuU91t6WiLY9slEBXBO8V0TMg8goIOrm+F
iQuYGb5S2ICrobc8ElayvI7Sp9ojU6aByVfQbPN5EzkkF4kuAoGgeWzoTj1PY6ZOWVArBL6Yooct
zoTMyk9Ox6orRjnfukYqhk9aqSN0w5ATr+hqN2udsCTrDuliNZ+Szou0p0HXYrvYWH0YeGh2OtIn
xmDRfJOs8N9V4/9l1eCu8v5x1VhCSPdveUWkffP1z2vHv37yX2uHczXUMB2mTjJ5NP+1bjjmb4wI
KH50lz7392ny74UTijNKGsEKsSjPeBr+vXCYv5EVyl8nohT5Af6c/4+FAwI//WqIXoAjeBe0un5c
OGxNEvvnsmmlhcDvNoM9A4j58osn+sfa7PuLQNTzBA4g/oul88+rU4c9rCJhZt4rYkdWo9POfuT0
zrpK7W7zzy9FQfmnkZS4vtSSqcrTwNSW9frHlypzRCyEoM/7sY959mgPnEzTCiAvV9hTyGHe50aj
wYERNsvJVP7i5X9ah2EHgs5gIuXgn+JL+7kKpc3gikGatCOK4WLmzgc3bv1//oQ/TxiuLyEWDAeT
ERCFP62OTAompQdGTVdmuHB6f2k9o1wrpjYrfa65S/+o+v9m2aed+PMFdWF76CDM2cJc8jKX4duf
JqRWiA1/9Np2bw9YnsM0h49VekDAU4F+J+vtZzsYatzJYd3puFrLJKdR4hHtmqcNlTJiO1p8zMwJ
4Ejc9KAGqNW0nnuvXo/4vQDjswBzyK+NaljhBF816BAPJofOz2Yy7JDwdN8Ke+kYN51uvkwtmCVt
8nBzo+y1bqNaeb4VQaDheDm+sE4355hu55Le4zSRbzP+u0iRhR/iyaEfAQvwgaakuBOcth8xCl/R
FexnYRfeqr4wYOnTKyTzg3RrPBvbXs3zAQ3SjUq0fmvl+TfbyR7L2P4iZ/eha8jsGGw3P1b6+Cns
sXV5eSI3Gp2nVW6Rr5Ni89+xbQHYwoIv2mT4SturhqwT3TH/gV/hlc3GNnO1QcQnb8cR9aKnyeBI
JfziaEZwTKKYxkTrVEv8/FcL2/ZlRMjiT0aS3M5eHV46iTtZuSgPabj4DgEptHkDUobiLNgk+hjd
FAQuqSiAx+ROw0mEukw3Q6MRe4aaKfQOqJTUuI1pX15qAj78iCPbgiRwzpWeJPqpqEh72BZ0reSz
XTjahyjtyaMsDX4P9AXzUhrk5rD5EDppQYKPm6bL+VaXSJC8bm7KjN65WdTpFik5t0heo+UvAdgm
Q2HgEVLmlo1Qf7FLWFFTX49rLYpN9apivUaip09QtGYnvACbm+lN0eMPZG77US3JswMq6x1mrQnO
YEGah2oumvu8ac+BN1mv9ex2F1tZ6b7WIuPGGC25zwvuBTTk8VZ1xbgjQPU1Shsx4YtV5FdAM97D
yvMedLxrO8Idmps51Mp7BTPFxAp1E47I9NZAzvUtAc31K/GMhPzFkthUYxTxrvFsdYoXxiadHXkf
Y04LwKSgEOwcY+UZ4adEpRGeBfFh7MOjnQfL6XR4qKb0OSFCYwXqStvZZNGeOqIsVjGyC3ruqOS1
YDB2poV7AGtMtifL1j4wy65PZFiQDqGHorzLJ/YN7miTiD4tCPUHK6int5aSYk3yHwLhMNFOREKT
uzRCipIZfTc6iEWK17B2/FqvebUwtei3e5pm0U0ag21QRRPAFTd4dcFSgUQNvV0YBMNpTJIE6bwa
1hK0wA71ZcCzj37dtAmbxG40rnORkmUts+E4m5FxXjwA2yCR3ktZlsk6T+OCln70hvnxg4f5eBN2
nf4YY+Dam731yeF71dwsfEpLHX+Kw5W24vnY2TSR+iDFz29rAIjBhvi1a5BvMyc3WltXDwkePr+o
5/eY+CZ3Fek0cV2ibg8BfpWNoekP46S2oPhC2scKBAaGtN2c8mvDQNbPjaE5OcvToPkVyLAtTGjr
jdZhumIEJDftuK2r0LoIUXkLyLQpDkTjtPdgEyxcC7p7iPPB2ukGgIhxkWhGEYiLlbCr+TbIaESv
wLlMz6Xhgi8g/+RgEAeK/UO8NiWFpQmBknlnUK6zKsARqYMacYtdxAaAm1XHJhuGObg1CBe3be4e
st58TvNIX5kB+Sqh2xxthie4ufCsMtF0b8Ig/RrgdMR0024cZdpvSrcruggEVdHxz72VyHj2WBLk
XTyhTAXBlB1kbjZ7DAzEOQ7z8BEOOAbxuOGVdQ8GyzqTPEArrRiTbx5Ttw/GUOsX7Ij2gzUn0rcy
z1gbWQ5/pxQZ6XDMfDey4P4yRjm+02bAhgO5jMtckH3mJC8iEuBiPYJk12SYqzWDDZs+AqsHojJa
NbNjnzMrHmr8NnOPytjV9mRowDGvnS8OKAAiTD2+9zoQCVZ917lk7WjsChEzyDRtgJ79FO/N1CaD
XHrRXsXIAMpRCfRdQtzJ2Ej3kUZWmytIp4unXTZFXP4+Gp8NVi7fBHiFWHsiC9INjTXnMpz5GlkD
T3YtN3LI8w/dlNqfyF6KbmUj5w9tYfllGg9A36umuVVG1W3TPOHOwz24x1oMvYiJvM/m+a1IW/Iw
6ybdyjBoCSIqh0OfWKwZZAs58tQZOW0b38xa9b2u+G8v9Je9UJqTf6qK/Lfu7X/gpMXddPuWf/2/
/+e2bLrof/y3tOx+6ohef/BfNb4nf4P/hTsEsbxAtfZD3AutA1tS4P9bNfp7nY8vH++Ix79e9Ev0
Af5d54vfgJmTIsCPfbfh/0d1vvNjZbzUpLQmUHJguIfei17ox0KOuxY9wegQiIrDJZx3cRtOHYWO
CR1oam+0zvY2VU4rb9W7IoHiDZDyVYMnThkQQ6bpK+1Me09tplrLt+FUlyz6c3tThoCHG0sdUQA4
PoNWeSpVoT3VBbaqsgjZaWLXQA6SyydoreNzAkWQwIGSDc6oajhDbVKvZUsrk99nbE3cWQVzo8DC
pIdum/cN3kKE0AOjG2nlzdH0MDhHdfAwzPUdzBefMxQCFMzue6xcFoI3CiEHmoZhs/SB9vKjsH5X
1Mu+YgK7hjWbrMnFmm5oDGCy72gx9vqXSJNMxrJW2wRoSrfMXwnaYsa5BDXtaIoWH+AfJZsWxIo/
Z/YmG5u7JmW6o4Vp94ZVxdpmTu6uK4Fd1solr58DQuJK2X5XuN5+ahWcH3JT4CMa875KmXCB8A9W
A7OsPUEF4MY8nUIvnUFvxcZK4WBjWFRZm4ijjh/GTKkGhOirHtHmMY2dm8jwONtY+SMEnmHTQSog
1G5f2UvhkZnYk6kt17YV6r4Z6DuoaCxY0fQiun5C3bl8iCqFuq+sANisYkYoNMk6qz7nLVX1OFLW
Mi88IVUAEg4XqJwd2GpZtRUoq3xICBqpy46zqoXce4F37KhC1m4K5iWeA+1lsuJyZelKbNqyclcW
Kdlb02asqvWk3phllFzwT2PvAT3lY1XEzDoaBBy32uS3o277xNvLlXDD3aiYm9XonjeekXyqRgR2
teYepiIgs14Qr6mw+a4sEuIjSzH9raE9ZFgN0qS+lK18ccf5nJiQYcJe2lutiPWNwfh+51T52yyS
T0nd2bukDBpcsNBm2Nu0Y216X+1ZS3xm8ExY0Rmzk6wkI2ycfuED9ndqghDBgEmffZ2GKGpcAzkS
0q8VvPtDbSbGp8kmyQ59x2nU0s/zZI9A991qkxAAvhcFuNN5LqjSMu4FDEK174SVvY/Ih8C8NI1r
PePPUqP5qLUdJx5nDLA+t/26Lad6R+Vgb0q0iFtJi3wbWMlzw+n9ptCjfGu5n0Ov1Y9jiOhJVFK7
0FLDH6wkvDQni+PHvE9dyD9SXyVEEOwgSDSXJSvTR3OXPs4cB4kun29aLJlbF2P1htw4uZ2ZyfqC
MeSG3CXiCU1Nh1nQkJWD9WSD4x35Bkg4H7UnFZWTyINh4vGmBOv3phkeOtGbp1bTwcmaUfWs2PW2
CikpG2viEJ/tDb4YQJrqAgZpKxL9GdKFjlKGkCnouvO2iyoHCuls4EpOi6dUs6Z7eLT60ejaQaw8
EtDj9aCl0UZW7uCPXQ4IOWM0YE0tJELZqDMKQWJNpAYaNc52ZSpvCeX4HLNj47hywbvVuFaUC1zQ
mbme1dyKvRNlxCJY+jeYRAiZhlIcF9vbKpHdE03FgyKS7ejiN158oo8ySGo0Pla5iaBlrOYhk76N
hosTkfdFddljPI33gaFIeUEMoyexsZti7Wtuz9M2awDid845Hvj7rVPsBjlhMcYqvnVCrVlzsiGy
OqCGAiHlgj+I3+oyHAhUnJ9aavW9g3SBjG9nqR9Vt4bkMi3wPvQ7BecqPZTNzWQ6W5Wbb15tMRoh
VRKLbyueQDaGxDahTZ40Cjwj2Y12/bVvGfM4M8Zu0SRUtJlhHCG/pdskM/tNOqFqAVbGJMfL3X1k
6XdlZn6Ssj0noZ0cCOB7cYfWWTmxXEiCljwoUhYvntd/yBiF+VXlfMXyTxxhwDl3CLOLaaiTY3fN
beWax7jkKA1kLrvJYCYUenOfRUHhB1aE7qyuvzWN0jlEA+IXsyp3to0BLcDXBMSsI+cV6B45lkT4
CSvw9hmthtaKPnmT610me9qXWWGcZkk11ptTvSUjDXmDyysW83xhVhTft6k8Jwab0EheFSMbCtrU
CLNto4RY6bl4qii7fdnV8Wmq20PY4FQiSos0jg4qFPWu7jN9lK9ZOn4cAqX2zuS8l8rsV8DxI04V
HVziYkQjWgRiDabUu+uy/p6cHIJfbXt548NNVbdQoEiyAi75iLySKA4Or2ONfo0FLTsYkfZBeVWy
qrXx3YorDheZUge3nxvWmpjcHiTSe9bf+Ai/kbYKQo4N7A+aArBFQK+b1g5Wu9iid7G2JiiYNWAK
Yxc6yYehjwWna/cyde2pTSGuwSb9ZmmVc0QHFGw1JHsru5LGFsSauzHsXIcWpROLCliPvI8y2AJu
gEDtTlj1PmeyLbpnO+4CTu6hq9VesR8HetnVki/vlsNLF/RkwKwTzvZJtqq5+3L3LhCNN+ABi5B8
8pDRZ0Kct6/xtffG2qkI53221LBI8lbT1ECDJ26iZPWG9D5XAxqwwgzEIxI4RzavJTKcuTg2Vt86
HgoI4PkCbQiOhihDR9HMTfMdZ/7f8voX5bW1FJv/VF5/eKN7XoRd+aPv6vuP/T58M+RvYOCFXFwx
lkBm/UcTnYHXbw7gX1LSl9b6n+tqRmH0SIX8qX8ufmOoBPyUCZNj23CJ/5O6mpf4U7/ZBkUsodQv
AgiD3j7+jh+r6rmca6W1SoJyy3I4evGoHiAYwEkdh7r99KcL8zfd2OWX/Xswdn0xaPi4vjFc4cX5
WfAfitHOUAna6GMmFNB2afJI9t7Ld0EfY0syRnTHfoM0+Stbw9++NINKhgT4obmoP37OWEsNpPWG
/UC+Oi/tNZpH024g3NRR0uAoPC76Wh1W4pqErl9aTX5sei+f3DE5Uy0OOZxfxs8vT78rLLwksx6y
HCcQaooexSQqy7lie1hebsxRbv/z1V7iPn+63Lwot4qNcAV5yc8nJuRUgQorz3wQjP0uBVHDBzOX
c711cAG+VJ1AKx5bvDhxi027izrVvcvFVpJpkutQy3LJkgwRULZaA1Zjnmf7jZY+4krUtrpx6qsA
O0o8l4uxoTLYRUbEdNYvfBQ/dvC/XzvJVFosxkVEOz8NDFygk2pk2UQQiBg7VUS3MINEe+1SbF/I
BCtPY4p+/Z+v3s/HzeUbY+ADwoPei8l//3jDSE3Hoi4a4wGrgnEhlZKkX6eIvumAFh+AKY6PNMKM
W8bqGLOnCJb8P7/+Xx9MTn0u8wzG7tw3Pz8rveehRE5H40Ey4nqMlweGoQEy+b7+lSvR+JsbBQMZ
T5a76LGxBP/4WYPJ6QpdV8YDnOPxUQMSmtLMNmj2XX0DY2rjO2fYzNOpo6GtnIGH5Srap/D+Ty1g
XHiLEEJWy8XX9pe71mSE7dV6oD+oruYhsdEIl2cTUGW/iov0V2a9v3tIwMIvzyX/cf7iODOqRI81
qzcfru6IYopQJBNtXZ6Uo5envMHByCZbnjjVc5d72WzcUuFggpkSAzu6QSlz0mQ/Poa1QOSc0gw5
dyk4X6MD0BBFPb6CYkp4ygR5fcPRi8DAbf/5XrlGev24sMIh5PtDQyGgarg/PSIJdkPlTp7xEAQJ
1ArEls3+et9weKheF9X7OnMH1r2JC4gO1duECHc5niAL3VdTTrkNf4nu5DzMiOmNQG/f3Ub/lTH0
b1ZBzMN4CHWGm38VRmijqXogq8aDIEKIc8ZymY0KI5bBQPBSZ82v7uxlB/1hCaSfxV3Nngu6H13G
z1KMvEPSTte8fbiad0SHKyPwxuUfFsJ1pSNOQ12FMQmnTNBs8B9GoIWGyXuK1RJvT5Ole7eotu4T
nRUA0W/1CoqLhXO5J66XqGXXkCtyyb0zcvESLp+FE4Vy8MD8DlLdhHnun79uPsHPH4tPwvfMAN02
sWz97HmdgYlBL5jCB04VINIqYOF+4mjJXW1lU7fH/AC5NnF6NH2o6zNJaHweREBBwhiSMr9bx9BB
199MOP+g23W2PfOhbh/JVkGmNCCtMXgRwPh1Czn6So8G7bnS8rDzdacEFTWEUyTWtgfd2acxyJOR
tAMjiTySsPsSYOQ2aIwHzobRyYU2fzZzt7ztk8CpfbdsyMAh6U/7aExOemeUU/ZFT1vDB0iCNBz0
+Vzx/vroHebxJGnKRIUfd+zfR4zoZHXVOHrvAegxuhwjhPgrG7eJLxzQ46vecbTqBfxiMvhW4DiQ
HWuGCgzVU7mw4GtsByJsZo7P3oTUpTPdz5jSGjoJeduliN9mJhu1UnZzMGvOtIeACfPZDBXWoKoP
jnRDvSeU6gYKYKAqzQPgFsOGooEJiN4X/Lp1HoVVde/ADmvWI6zOwHcTXFUhVqCXKuUecSbFI0cq
pLcB/w7xjdLA2zhGN/PuSiHeWlgZ8bpwWW0oAVmI+4pdALo3PzY50G04PiIMJ5ous6GOJZlzdlMn
VezMRgSVBGqV0p3qSOcsmeg6lvVZGz3XoO9Z5pCtq3h0D3YYR7c9MZ1fMBBJ+Nsm/hAIbo1PAGt4
y7Ch2TZEL6JGql4HXZ8/0h0hRLR3R58epfl56spyLWLMUTBag605W+UnQurFx3Kx9dSyit65Ucav
oQqSbjVHYeHriq8HAmhX7AiiF3QSnX7NjQW3N1yR8zO6q4nY+hXRje82KkXcS3FYXTTBBOfUF26b
2keIeczEHeSNOgnTEeGojp/TuSTtEJgLAg78MhAzFqKQYQ4maT2pHWtkZsZwqmUOis/wqo9EOMP6
yL00KXCB1VPOVERfip8ZQ3yZplzpYkkv1UOXYogVHJuiOzjWhuNchX2NntnzqLV8Y1dzTD5NFuM8
x2Nd8UrWinjirkRqBlp6a8PrsNYAWqtXr2n5ZqUx86XGCVxHXW9cOg8Dt1cRQjho054lO7bDB+W4
c7eeJ2m/BWKgPxKjnd902RKLtJj6ye70XgbTxDc4R/ZBKsnCA4nx7Ng5VtImqtuFgoyRBuUrv36q
BW+OE0d5oqyDViSZk6dTXp5QmZqXmtw//lKZeeeu61mfWc4CBnS2l4e+YXT8STiPfCZQtMYtIY38
wQzRP926OMxoILNTrzqMTcAvIyO5BZPJEkMD1D2Hi7fPc8CT4eJnU481VtTrGkkN554DwSbqgLTb
48Nr32um3opUKBswQqv4n9d3mytF9pRV2+N9SdnJfFjEaH6vtUiaSZthPooN0m97jPAzdqXepjKc
zAFDkDF7GzITpkcVc9ywMuy2IHrZnjuG1v60VI+I3MQbwyk+FI8kr5Qysn6PS24Gcpza975Z2kRh
QvWpp/gz3YxdFGkSvsmM3bb2wvoVBxLV7xi30+O1UJiZDDJzTjL5Zi7OTFA1fLU1b2Y03eTdtjJa
mzHl0KGsNf1Wj3ikQcTot22TpeWZ24jvzlzeLenGbDwtVIzFffWoJ4vTsixrb3P1NgEcYDfHMYoZ
NmC88EZuERPOvsSocKjbhnfe8zP9qiyHaTzXWoNL61rgqKVUSeeke/9++LGWPXlKvCQnn2VClGFr
aU3YBH4L+2YQk3uOcmG/0bhrsh3bDm+wMkfssotAPGEAYwRw5EluJ8RweYQMppjjth+bpQxi5+n8
Znhw7aF9zxb6BScIl+KO/+uFBhtwYQvWNlhE1iGN8nhnLNZWlgHrIPmmb4vWcg58nPJk9ZqkB6lo
LNLy4N2CbWr2w8CO2y2359U3qqMTIEqAWAuaSD0eU9tNJnVTDaEW7fOItFtGqJCgVuQNu9aGdGze
TCC4gb+7rTsDyxNCLOeSpMxuN12txzvL9LhHsigTb1E+cE3Hihy074sAuY1wAmJQ9ggVYu8soYkd
EPDwwMnl5fMBr2myPPVZZ1SvyeLgvrJOKPfrfR1YfKux2RIkwkbOdRgoQSEFBS8avfT7EbTx29W3
nBJZmdMSJanBDwVPfNO0vJPrnWiPCDBOQ8wSIAyMtRsDtDxE/7AO23tvDMwBD+HyBSW1zdJklkG9
zxvDe4m7efRw5s1aS6Ywso2V6eKHXplDmD+hYxVvV1aJqbmcAbyEYwh2Y+MyQFkDMGRCCwZvm3i4
fGOvesW1xoNeG8N4f/2E7ETUyK1kBcL1H++uB9550DDgGxaPaMgRFbZTqq+wPhgXVfOHiHn4WoB0
jfczxunse8V43TanGeCaX2WadbDciM8OsJ6kMBPNQYK102+U4iSzXLWm6kfPTwYjm/1meTuRZBKS
xoH9Vim40tglQ++cpQWP1TwxSHKs2doqvEV0LtuQ5ShOebjA47A6Rm0j0A9wy8M2BWz9GMWBtOBc
O/V+ilHRbgT5YuJxbIaiWReDjb1ba/At2+OysvC3vZcCKivWXWUf0rrUyg3KwiE75vC58k2mIrN+
QpI9cIsEKRcaNpxxGyfXtW80mTmWocEiTykSLkdyu+O8EuVdebpegO9r0XJw7xcCyHVhbUKHHed6
70LF5ZnEwNDsRyeePjdsQw/X+9M2VbBLaATs+qK20xtHudwirk7AtU3y5jEKJ1rQ32+InHbmt4om
fU8rv1/s2wWx2VMl3kJJL+V6V0gcHgQ5ouW4RU3Mg1xDbSb6kouAyzYu15LEKHygomAlIgwc32dt
0oQgNhJ/N7ZfTlVDzt1HkCRB6vbAv5sohBqfs6dxa4Cj2HPLGRdwQeXgG8SDuGsnqNlhHITZ27Li
plEEH7xYMLPukLHOUHYXBIGuGaZadwOL9nUFtFMcMX4JRjhfd4G2bN9dwlWynIHHZtmAGEOG1jSs
qx6X9ArLBVhshncey5Va3m2iOh4zC1OihZluGh/zaXHSVxzVXsh7ovATIZ9bTb3L3W3aneYn2EiY
/1ALzU+94cbjvkO7F90ZLTzzQ8EyetvoyxREuABJ2flL7nYdm11z6YSiCAm11HvRhwpvHQBuPq/j
Dfe2Mp0n5Y75nWkJ5sGBtk69pN2TdaOvHNiyJ4gLybcQb8/KMUmktiRHasSMFg/wyPaYxBU70hQP
0JZoeXpUKJN8gbXOdY4rvtBSDPO4Q2tkbQGrTv0qrEviTvsRWmNVJTcWnhZjza4JlpR5674wqgKN
TVUVN0GJPMQbM+oFaWIMxAXAHda0ZuduYPN0+pGQ8Sw6JgGxtmsPh+FtrmzA1CZN+sMVW1DQs1Hr
mjwN7SlM0MWum7zin7VncJGuKI0rsMS1BibYzbL41z01Tr6UdFfGBENOKrzFZqzqgWdmOSinGavs
YHk8ql5UFwiDGt5eANL2JTXLhVcQDLzT8bqZBBHr9iziMsUnj0xnlXoVhLZlDzc02MewtrmDrgfD
UA+LinToBFFd07GmlcgXghP9tIZhXOmdYw/j5VB5xm04Cu/F0Lr2Hcys60srtRfaNd/rApwct1iF
uVvzkNUKzZ95WQRC6+u66SUpiyN6NAtdA6wQM1vqzSsNIW+wCvhBRftqYBbymmYEFZaAtt+amkeo
y7h54kBLj1optjJcVuZ5LtmBONtFe1NE8Ve7l3p7EpXiies0JiICy/pZ+15hwJtQGjtzjrHJPmAc
0p0DB7YRfzLnm5WrVLMru1Zts8VAx1mlE296ij8bhTAtO9j58Zo+D5fEgbJArykwOUnkko1F9pO8
EPsl/bl2rEMlRp6HOVyWg2vJLPT8mwzNcUWXLNe3qHqZ28ipM7e8cnSJGjU+j5GczxEe4eeKITc6
Xsdjdea0M2/ZEJmxOzKH4T7ZlXa/kI3GNeV04W6sBvGkGQrti6os8Z4wqf2aUVV+K7OxpdweCI+j
rjLpXLQ6wP22JPHMHYBK6bLxVYBfdVXXjMI3dTnWR2GN8S1kRNcPExl/ALIXPiH57IEp5Kgx01Ys
1g4x3XpWFTxHmpN+KeuJ3yRIzGqplAsvvJ8LjRMriSXkLTsd+JRV4/Xy9dpW+O+E5xcTHhrzHm7M
P2TlfxFQ3aXZG72EH8VT33/od/GU/ZsN0ZH2IX1UQnU8BFm/m6v0haMrpcMWQwowza8/hjwWXD1K
Vxo4S2v7D+GUZRFfIogUkbyz5efc/2jAI37s7tIyB+hDRIpn8A4opX7u7jaoJIpRkmTFxgNB0s5Q
IPQdSvDOfRBREcH58DBNrmBKzGIDq0dpzxFunnfG1Sa18AgqaS44Q3pxwNKPVfuipjqDxePFyX0n
i+ZT38TOq5hlQVZfmJ26ITF9TwPfQ8Ec50fktyz6qdejREmKc1LVEB+KqCpv0E1X8y6fGNQOc0/O
UmRWOIqGxnvt48ly964eLasnT8THfhiVe08onYNAPI6Qw5SdvbHkgtf2wsqN3/qFuq0YX+X7sikx
YFZL2Mm5Iw+jC7cQinR7rfSFQEHKScwucZtFNtEyW4r7ubot25aPG41t46zJ2UvsYE8VbDXjJgdX
gWWgYDDnsqeYATQ6P1VOHty6JrTtAbUS17Omw5CrYRmPeDpirb53EI9GgaF/GYasHeZNGsVi0Fcp
anYcBgWj5XSdKxKbiBlRBZUGtHKNrlaHHCCjeTDXNpr7pCKkMZXUyNWarokZQUNF7k4K2/scTBOw
o3UHGUX4fYiun63d7sOdSUhWc+vknXbQKUbvdZKpVmQvWli+7IZ+XVQcIk3rdyEGWlQokqxEq9WB
RUBIfSB9k02BzuKbUyUo7TOVcb6cIj9mh9hCRU7PBH1Zu7K180NZdmqXFn3dreqihJ7WZ8vonjAt
FaGXz4vSt2QU3gnTg9cTZaMvIYj6dkctnciw3LezFzw01JUfgkLr6CAGmbuatb66yxL5nJZ5+ICR
o70fot55QPLVv0Y5TajQw1zQVNH4wP1Qbqe+jF+QOAX3mVlOH9Ko0sz1oBQ8AofEMSyGzi25psFL
RMm0Z3/QSJgLFo0K08Bt7zTWOZBBttPo1s+IiBDHvVS1C6AmyORzLY3iqZ3GlDCeIArHNSJDayQx
u3HGdUnP8lAgXgJ01bX5hryL7jCQ1rwbsjR8AVNinTzyNKuVUYnhYnsGckG3asDpKsC634zBltRg
DoXKitzxYkPlwZmSGeo96aLOoRnEJUHa3ibKtla2NRJUN1UIyak/s2IVNKq/U2HIpjSO5Z65slp1
ycR3jcW6eYgyWbw07Qh/J3Cqz4MZfTBqQktoJblHvmnIXRVO8amtiPCZsvEhAIx1LFCdXELDmj8q
a87zrTeM5peE5u2JEEySFevaco6wDbytnVRf8cMEe5rw9SaC4MY36CRPXuqqj7pMsg/wO+MP1tDF
Yi1qN/1Qs635A4wLxhRds9Mdw9x4ztBt40qehjJBKuWibEoai3AGrxDHYWwRlzO/wE7Jz2pkUyCJ
mMWcRCtUrfF9ESQj8v5qbNYA9S3uYno4EYFJtNnAP/m2Vk+bclDERAQDoC9m3IS4ZdE61HQkj+1w
pJtY+NYkzBfb0ay7Tmue47l5SirNeR9FSUwG5hTIzGJgWLk2qxnxH+MhcgAniCEdmk7yXjk+xuHB
s1vnZhqamkdDtU9z5gJ/avTyi1SwfqthLu8R88yfqUEbMsoxfOO6AVwSIjh6DiNbrGUN9gaxZD2h
gPfCG4bL6rUTgKvLDJt6muvrOUWFuaaaPHJKD99QBcVfs4ECue3rM8e5YSPkMPpRr6yPZhTEe0tz
TJe5/jCdTeB7vp1KdPodCjieOJymt0aNigeGCzF5cBPKhzRpKQerzuB4pyjBeuCzNASDmPM2vQ8G
wyYdtMdysGl4pOFgPfVd4H5Oh5zKW8WK0vzaJsPUMj3aGq2esi/EmxLkl9O254w0dUtz+zqHCY0i
qBCtkUprDjakZo/T3WRo7a0TemqC3Ua2C1ND1OZtjPUkd3vCJiaDnifBC7dtjDjOG0S57vTxC4Ht
xaOB7gwcQNCu+aXhOkwQpAsI67uOJuJZ68x4EedCMy4b8a3U7HcitswzDem2W081JGZC7zY1xwge
ci29gR3i3nhWmp4Bw8hklcxfIh0/YK0v445xfC715gkmMwJSo4kIsOPQEKNW3MZ47eirz95DbTTl
huF6RD+mHdo9fajbLO3DLZqvAHVbY3yIa4GQE+T4luf9S4K48rE2cfFHUOMuoQMIwIia6jjQa9w0
wFuzG1HiLxJt0d+UhR7uCeUC7SVz2e1s4n8euHNzv9A5HjIpb97JbtTwWFRGRtljuy8hA7kj7xBj
EMmu61Ig/0V7J/L7PNDENjPpIBogztd6q4/+1OrxGTGAs+L8Xu46NSqwVGP3ajZ41TK3LBjApJ+6
1vic1BXMGLbHcz/kIVxuAglpwGG1K9qSWLE8ovi2xvabAWN+o4xJPSW6FBvUXc2mDF265m7p+nSX
gickUu0tmNtuN3hoZac2bu4wAVnGJpm9BpMO4yX6LJF2GNSJ3nm0FsXwuflf9s6kOW5jy8J/pePt
oUjMwOJtUECNnIoURUobhKwB8zwmfn1/KEq2JNtquzuio6PD3Dz5cagqFCrz5r3nfEcY+TvipIZt
BKfnY+GQW0LfiPfVcd7FTv6pzZLuoCts98LOMN+Y/Ctkou9JxAh7DJjiIGj4+szCta3WJ+rVUivp
Bzd1CKzJY2VH+0LxDIYw55TG91Hr0mQLSaM5DBQkwYCPcK8zBdjaM5WXguRyl2nxeEqKKudzNKPx
7VVF8YWkzw85Ywx0uys/9ObEycjIX+PlUjeDjK09Lm06g+b1Ykz1vjQKskkRdmwr1fzQiPo8EEzm
lehv4SMtO5Zo8Ig647UEzl4cI7RLsoUKIxcWA+rqBkbu2RbdjiQUJr7FgAowo70Ql/cORpBjCvNi
C4vE8Rq0/R49As0zQMB3Sx5tQyO/1gtFuXe7edrl1uDuDZlG/qIXZ4K47yRByFum9cwGKqUEcCXP
7jis2b1Zvusg4oMvBZpvRBXtNQKud+WoE7Cp2Pqt0s+ax9puv+5hFu6XFO8QxIBPTWgpAYLIgr4Q
EVVaQowsvqmY/UAfzhNWhg9JIZvAVrj9qk7ZW6BU0E2MDpvxEnujyVBTuPVwmIkoxdoaoW1MFudY
9PKcJ+Y7OFCP/5yl/pLj3DAtzh8/OUuR3fe9Uk57+ZVvlHLkkzAK05hvr7K4305SKOVMC2w2Zl7X
wXGCZOerXM56pYEu5/dsXNMI4347TRnqyqkwoJZ/hVj8ndOUrn2vYcAxu4JcOeiZYDHAIGs/SC2y
bliyaXCTuzRDQ+BusG6gj26ZLt+6YW0YZwOMabfDLlqiaA+Rw+F5GBNrk4VjNc03eABYw220PV5H
6FWv37MSrcQXE7l2JjbknwP1H8tsT+S1mO56encfC1FPgHhZHBJn06oxfUSNbHiwcxVyUmfcVS5p
sEXcpMcCQNpnPeJY5/Hxdn5RNNosM7j/o43CgwFQRMBIjwPYpKO+ixAA+rqbC7KkkooYQt0aBg44
gN+8Ja9b01t0Q3m0hfKLAx3IL1a/cYk04caKx+SQLEt6hTwoOdh8yN5NtN4D/B64PtrSiu9bcsJi
Oi+zvMOFHLp+rU1FG+g1r5j+0ELnryMkwnfhiZ0azogRKdybPpqsX5Jp7B87BO3pjQlRy+/oTN4m
rOgT44UZgXzObIVY2TgmCdOdXSLARJ/IB9vs+9LnnZDPoWQ5UKjZBmIPw+gBf1HoehgPOHNBmxwP
iRXGp2Wa52fiGdmiLWMWh6jUx8C1YIKRgpIW6tbuObqg/dbrJ9lSXUZRk1JR2GNxVLoSRByz6XpA
1rw4tw6ZnAPK5TW+Ll0SAs/sOYYWkJpd1+JTteXbnrMzhtqWO2ujZWMx+4T4zn4iBibLq5KkUNL4
s93ijECtke27xBi2U6SDQm2SwYfeaZ+bxZiZTsdZ5GvM4M+ZhatIVijIRdGoZ4WY+aAcC+sYGjY6
+LY1rY9rn9HHbDTc0CVYmGS8CAEiuaoCmpIsauOiFRAvwgH8hRMyAviynYMkOi1QNxdjTKqGkTW0
DJYyQfQgdEQoJedUXAneUHTGFfleK6AvLulDIDNQDd2g/crVO0MZ5L1a1NF+KIBnQltFkVC/yVtm
J8jjEXDIi5ajveg68O7YnQ+rviPVBVsLs7Q6ij8WjS3rDXKHzGYXlwRXjegDOty8MyWg4iRX4yo5
scJyeg+IcxWjrLoUWZf4deaLaAWHQdliWLFEvAdYrFV73G256vVwR9XNdNHBiLawt2WUJHeYeCmy
42Yk/L0iWYRPdujYdM5rmTDLTFfbcE2PdbxaCBpqfE0BBFqh8dL9eixG9p1L6y69tPGsS0uvZROz
r+eloP2wdv/azB5weOkR+T1ku40IdyjOc8VObhT0PSMcp7WnSKOHrmCxthq1tekIsLHBeS26+2Xu
U6Ybg/JBuXQwu0s3ExOcNG/6Su+wnDSMiLbRIKvnGdWE4Tlrm3ShOsNvENZtueP/XCcfSklkKSuR
fIA7MFeHL+P6PCcsNRcxs0ObbJODXtXt50kxHs1Vc6AnZscYI9PGej9lsVod2lAiEakVFS59J66X
MNXORjnxeQwNRstBGrGamQMxbpls0t0y684xVQgj9B3Q2PPVrNKct/WuXHweiRwRJ+yCXI0YaCS8
VxVjliX1tcXQzwp5K2ANhjj3LTfVTpXFMEp36CgHSlIjSTViVKLk4CRomXKN9zkzovSXtrHT96no
lUcG2eNbatuxDdrKMPisGfPoK+miB4XK6fSAxw7mqz6kXWBxjmhP/IAxcGqrOeWYmlVLpDzOUsRH
oDymxjjLsM0aUxJsYLwYnAA2GiYlZjlWG0FwHDHLKU2LtQYU64Tdl2kJw/WqrAfHcxhHv1aZN70B
sPVkcAtDAenWqR2p1dreQoFyBuGp+lEfSr/XYkAMxJaKoES2FGCEJ6y3mqf5vgw74yYvUNx5dCgK
9Xpqq+oaQKKV7pym0p+bfn6O5nlk5Gsl4MTVhKbLZhxF3xHDk87DNeC1Vb+mdvckiKecq9m/orM6
j2GLbcjI5SL3hW73oIeRCYRReGxI6HVuDAQ2LwrHf3rT/1Vvms7wT3vTd5/KspP5+L5Mvu9Pv/zi
l6rKNmDu4DBAKsjI3OFfv1ZVjnhF5KFKfoa16p2pnX6rqjSqKvwBglLnpa39W4/afQW8h+60Crnf
BU33t3JfgAd8J2hcsTewGJEzCuSMqvo7QWNesEoVtcBSaJeZ9KltuMXNfNJvtHAmvd7FiqjTgsa4
v516q3E9rWvbAydEVWyXBobFJgYY7iLA63PTj1EdkeieRYPfuh+Y24a3k2XJE41mAZaUXoa3FABC
2Gy7jnwlafiLleP6VPROVQKsYjVONxq3WtCmMQB4Ogw00CS7bNrENyoKV04by/IYkmeMkBVXQ9C6
ok4D5ggNga/tXO5F4zZ4EWdhv19S3QIPoGIYZXakW0C7azfziwE75BCX+8Rekk+KqkYfJswA1zO/
82zKKh3oorsGkps8TAFHdOgmQdsSeDWYkRZUymTeuQ4Ndxhe6W1Sxf31OHXYksN02YSCoxrzvnEO
qPTwuqHkH+kTQNKdORN7Smt10BcKl95THQpvzE390Wm5zGAjMh4CNeCR+OwhKG3LwPrYRIHmcuWN
xFCP0+IWd72iW9veWoqzWPLqLh2c9jYO4WWiNsrKI/MI9mpnCTfZFNtbzdVEv1mToIlZjkQAE5JG
XAtfJiX+WjwByOyvhsp47ogOeFABKjg7pw3hpmtM5aGowYfZle2gv5nzTNvCfXB2Rc04dTMuYXgN
eAWijC5oqFflQu7r2N0TuOWkgWWF5lFXJvGZnbEMjEK9t8e7FfDodxNJuxQ+jM7hKOBK1fQbWk7D
27W7+tiS3Hw7dqlJiAtInM7pNya5cni4gPHr5Zwf3Ry2B7a18mzSAbwGyvCU0Mr1IX1kvrQGuS2B
WD7IwWwCSzGL/URSm6hU2N+k4N2HQyNu8d/Yfjgb0yGyql2W6k5QGLgJ40FUfrjA/cNNXoX7FE7y
lpyw7LM7TR9UoGlb9quw8uI+V++5yUk8mOeGhES1oHh39UAF5gQ2XzPw3JrnirttgzX2BGgl9gqn
sXwl7p6XIqHKn21lG2uW6iHx4ll2qHujAQqPOqgJlKRYeeaIFR3qPG7uTeb51xKJ5dF2uoY8uJj0
eraFTW608Y0+Ntw33LaTNzMm3dUSas9QxomfCqIJNijJzMBRmcjLqTc9Uo+NKqL2LmSkPjphPifb
zlUnbJ2muhjWgHQnjmLnfrLm3EIXrLjO8KBpMOYeTLZVOFhmQ9HxBklIlAYC/cjJaoV97p04jJ9m
Y4FhN6CQZZbuVsgwciuRPP6Y3MDP0p4Yu1bCy1OVfniLJxOUkVop5jOMlzI9TBUeXy9n0sKrQQJu
IFutlHZ8GJPEmB56cDu0y6JISfWbTEc+/jbL+nYpfTK7S1CpsdnR5aotd/HHTptZ2QaQ4G9JiogA
F8cqZXCmVAW3J0Z6EcxyUTnUqcm8ulonaROjiKHXQSWs91m0l71jvB2qcuo/2JmrZtZbrpHLFp8P
iKOTvtSZH5Qhp0r+xyJqFzWJyWiPerQPX5fZYFFjNhx6N1rfMhLRFEIm/+l8/JXOBxrvNQDmzzsf
D9XwhxiOL7/4dZJsvcIgcUnPWn2C1jqt/XWSDIaDrVbnk2VgTlpNZF/7H7A2DISHjv4rwZOTXB//
+18GAW2Yh1bPm6tauCD+FqZY03/YqInQYdsX8EPhDAP8UFez1jc4NZesiD4MG+WELH0806kp0KC1
5qHIlyywa/LgxTJq95DEx51TGUugjtI9QMwEOptV02vyxgsOBVTJatM7MDEEMSbwKsoNKC4wTARg
kp0d3Ue1DlmmHzkwtIhQjfLNNGR3q3gKB3NEs5dGqqdaLP7UuS7TkxXBY2RU2Y2Raw99SbBmXWtr
Cn1U3BjT2GGAc2Ps6L3hS2bEH4VCX8DRHyltP+toFZnyDYQ8yP4+BWu1ayayzT09HYr7JF2GI/wH
GFU2k3NvJmx1R9eSFS0nUFVOln0oIjLY03TpoRaF7hbZi75Js2pBn8nlvGktBbXKZMjQH2cEo/QF
GqDkUhBfuohWBKI2QsZQjXmFHHzPeeu+FhDxCF9Rr4tMPZXhXPjpzFwvAqfJHHnl+TdOuO0FIH9u
mCpwSrUFmZxNHnChDTOwdsObVZwWxKxb21RsekMM1sIqhBZn2PV21iLKlLnEr0hdsJqX8uWhMYGj
TzJ+4zJ9fJwK0zrMhj2+LdWKYNeucelW61V4U7eS2NO8gqVE1QWYTCDPD/XloWwZkQxBMlWO8gHN
EVETXpUPysLe1aW0CcqqWzbQEUixUQw8XogAkZ41eukQAO8KBVs3g1XI9lindgV13h5cNum5RUnU
Jl0H+3Yuyv5eQQjT0wxSirj3nKXTR6+PEvOKOA6xSVVw0YGSLasnYHQL/CmDkd0okjaO4ivFPEOQ
4Wi5+qSrL7bp7MVFzR9aPdWoRleHtR2W/eq3Xr3X7YsP2+2qZLVlt33VptM5RD64K1+ArQxwx3Ha
uiEL7rIzlrrt6ZNf8jWnS9imgrAJZzfRrDk5nFpEBahthfkS0okHY83snJJSkuCJYZ44T3VN9qxA
yJynS9ynvER/ArQhBjRbE0FpXAGZUYaO9KhkzQyNL/Gh2iVKtLdIFc1UXLH01ZuP5hI1nKjRL9yX
jC/qDYNMzP5pVsdvQojVhJWmUlM3BWfq22WcrHFLG4Jo04GWTwkTpCwpgMk+rdYUVObSBKJCaJAP
7SUmlUkKeeWX8FRzzVFtYkPz8zVbtVlTVq01b7UfSV614jWElSdAa0B0K6aKjNZ5TWtNCHu5s7q2
RDi5hrnazRrsyoCBmpdTDJacNfk1XjNgndrGfwfcGjFE1IM4VxX8M55Ys2P7S4wsclMiZdULukx0
/T0A7PKuWbNn7cbwYnU0b4miiV6Hl4TaS1hts+bW/rMh/qUN0eBA+bMN8bF/H3/LnNVffuHrIECA
ljKxa2O/ZcvBNvjbRrjC++FNMfsRl0kAm9DXjRBgPzosFSfnb2fVVWa1etpWQ6l9sdn/DVL1xVv3
m9eSZ4QwlSwBHPM6GjAOa9/vgJih0JpIR1675aIQi4GvUsotmHT3TVEY+BbmNcEOdXZ96kyj+6hK
ido9wQx6EWhihKhO2hpbkw4DLp1ERUQupXkH/qkTOkvlnIS0TnUWjHHZF4WF/JTFTs7g6Adg/a7x
GIPBK2oEoTSYQYWO7HUiD5VbtzDoSrMqtR2LC8Nfh53NliAtJ4uVhRgpm3I+PBB7oqRHfKTN+IA8
VBgPSlnZWlAbsWYEUToBcOFawmt20LhvBA8be1EN0DkqtKjxIigv/X1bGJhIpjy5Icgu3jVIrHXS
qSwKzUKju0jrcc+Lqvx8GZRfJuwcQKqNFkFBEafnuaI5iS3kgJg22gLDHt67KlPDtiNjGjdqi0lK
gHVxKyjT8HLmxdbKY8qEwIRtwwxm1oIJ+0Vz0l6Q+tTJ800cZYD1gdtMSCtZH+WDItUBBr+IsnQd
XtZkWu00JggI3V+4/aqISFrJQT6O+K3vGZIm7XVNp7zkXShMTSvGwz8rwl9aEZiZ0V368xL5zaeW
s3n/3aLw8jtf+1jqKwMpNZ86ob50q35dFGwdCabB+M8yXurcb/pYK8WeN8oh6pNOFZvar2sD5TGD
RiK1DPSWKodF++9MB1mSvnEbo14zaaW5jBp1HoS8yfX73xTHHCqHJakcc+8gdoYFHDteGjW69801
uXtZav6jHIq7Kin77t//4gTw7aMY5BTrvEZWPtJLuBLr9795lHAYMRNCyN0PKR4KWi0ubWPa+u9K
ej13hYVgOl8axJcVqXwvm9mfBiav79fvHhw9lSNQlNKQsX54ibGV5/B9gcFFhltRVrbdREWr8rim
yO5T+mTvI9Ym5mxlovvdIpNPs0LdEECS1H0c3qjaME3s+tHJN3qjNMchq+LbzknxvqU5AKFetnXQ
RUTpDZ0d3hdQV/2fX8A/fBEgDlHEEnjHjfTDFRStUaPWXNx9s7CKzGR8bAulMA6JPcnHhmM8LtoM
k4VSkGXEfBf3q0v4n1mhsdz0MBLuLGJ+7ipGY54Y8Xq6WEsQRWb5gUkkfsgR02GRDGt23dKnnlLg
gPn5a+CW/d37ABvCZYxGzCholO9vgs7Qh0Hak7unoJ38lv6bxwRD7mxOMz9/pHU/+2a/u9xubMI6
TVoTjsmP8mET6Q2rOI80YuGiA0GacW85zbHt9eYsTAhwP3+8Hz5El8eDRUGXkFscZfZ6B35ze2tq
hyVIQTlDZ6g9s6J03jLg0Pr5o/zB9VtpCaAuHR3/7o9QEbdlucgnxdm3GqHfDlet1t1kn3XO658/
0CW994frZ0J+YWFa14XfLQpppGruxD241xZwtIvdAdJ1uWekXK2nBeMnFF20YhHRZvdyBMpS5xbi
2FQN7+OhXE6FaTbnFtI2qq4RMnVNLCQBhggz9xFo3SMEMLlLuDcfxwjZMhB8YSBwSScUxkbEgwAb
hBXrIKnpNKt7mqwl2f/8ReoXwsR3r5IpgYr6ztZWQL5r/tAXCLUQ69rSzvtphb0WK/YVi3F3YNCV
basVCosJ/fOct2BiV2AsN2+6B6sLtkxdcbI1YFnAlDBmaWL5DZPSJxXlwo3pSuOdvUJpOVLQZZy0
B5U83Nxrp1zdtMh1X2sic7fxAoO5XyG3uMw1n9mt3CEAV6nv37GcZXtrheNGg2ai68J1ye6CBRQw
caBHVrJnPCvRvoHYpQJSd51eOa8R16WHVMFbWqoNZ0wauR9iGiybgh76AQoy2OFcnUAOrEhf+qk5
JQUCtnrUDCI00ARYgwUFuFdROGfo0d/0iAryFRbMNFq5NVFXf5TIt6GXARUGwqnvzNCANJxaaOOW
rKZBu4KITZB0r2mtFE/AN7PPtRpXcNyEC73YbWMUmVO1Fo5lPD/bOPl9e0Uem66bH9IVg7w0rnVL
Rqfj905SwrEukukWbHjzC8AwLDnQlJnEM0CBr6ysoGWF0x0CrYRzqt0eqUB51vgH0CS7h3lUypsq
rIlZmGlDetGKc1Zg/DH8uFqvp19heNrQpmL+smKgVdDkePQIsiQF84BTpyCgtpaPyoUgrRZiuYHr
gwhUruc0wf6ySVfstFa5zmFgwvu+RY18B6q5Kw89peimsTv9dWZsMRBwR6w466HR9ffVirjOYk0h
k24GCbeO+R+JdR42VYZSjTTrlP44qOwJZnYc62ctBFnP2jYeeiIcwQ7MveO1sfYR5xgGUmQ6Z9nm
10lIsISywrnHKEeAsQK7maYPm1aIY60xNReRAf/BnaOHMo2uw8h6F6/o73iFgIcrDjxtrScAgygS
ytLHyZhulBUe3puhs9XbVr2y52HCXQBkvBoXcOMrDGFIG4WDLDBye8WSO6vSQC0uEr9qPikrvjxD
0k1DHKQ5zB7JkwFzjh7I2BAnAPu8Fc3IzTWCtWUbAh0ZORac9ClJ/GGFp7ddp5yw3ldX/YpWJ0pR
vk+nDvJO0tl0DC4UdqGl9e3CyIBlqlNpgUnVIKFwzvfqCnG3Kz4ulgI2NQNaqgHXDEAuxJAdY6iR
fRxuZpGWH9rRiJ5TeJEfLbuTz/rYTkeIV+MB+znAXpihV4gW613TZ+GGILPxMKh8vhSZIQnOJfNw
T6R2px7KxLWXxlcbqwgKERW4U5b50RhFudWFFuPNR3hp5BXIbTmEnqsDZlKtprxKVnJBCesErQn/
mZYDwEdOZc3RrZnVkGwvd4rlQEzoRAbcfZSfx76dqhshoxwXHUXBMkqBeVnL0DEVjp9E7BwYaLHF
iqGGHTNpAa+4PdpARcgmQM3ACE3SfxPd0+JOxq3GB/VGEggw+FmIrIgpYDV+UlMYkkiwFuQoafsh
tudoi4PXfkNqQnlVmrb6WhHUF6RGx8i0JqqTkZKPabzg9EcnyWdo0jQMOQTFDLkI93lkNM9pqmck
4C6T/0JbMGu5yzNVPzDywiGIpvoN7rz80KDe+LgosYAtabD2tLxIuPDLtZVX4XFxDZ6X1OsbnZzc
o91h3ZYI4NUNkLXMJ9O3Dtx25JVjq7ldKb6+Oeha0BAxHRiAmm8Xuw5JXDUWfkdz8+4Jk/BKbcQx
OWWDK3bj2POSFGuFsdJAQwCWpWZAs9a8VVkYQJlA5ah7bSEc3Mo3rj2ER2oVE92N5QJ7ztvjaHG/
qnosP1MDj2+SsWVdr7TmiAZjxFdhGtpORRu1w15insi8UO4lDxD7yIAoL6DS8LQh2ryboDTCIbHi
/h58Cv9ihHyPVqvxWztWn+F0AZCEKmqPTbUjm3yZgNEI/WTOAlU5i4LKfPIGsa6xreNmxhvJrGXM
03hb6WEcVOXwWg1XV0rfA4TKJjOwE3HXhiUCtiyOxl1bjzLecfnxAbaopeMrDsQNmiBJZFM/lwjh
+6IVfqsDpb1yw4LxE95yEhdwDhnxzTxpc7H8c2D99JcOrNTVnA3+/MD69Knr/+NN0kbJD/IL/eU3
vx5bbU6ZlmVB/ru0stYYtS9DHYc0JA6OjsE8ZaUwrsrVr70s8YrTnUopbHPgBVtIJfxlqoNzkDOr
tRaViNNW4evfObZazu+qYX1VchiQrlWV9taFL/ZNzR1JY8rZu+JDV9jDqXJKjFmlVncnXZJRkhs9
a2c26Oo96ggC3SNyOpI58elNT3vifEkbDsPB3ra92z6gJ1RYd3P3TeL0+S52lTXuYnDXkALiaBhg
99lmzmLzAGjRbrdDOoTLBoLMhHfKMXPTMzLT8keX9dOsixksBsgfJ2PK2cqopQXlRI9qSWowwm7A
zK6VPjMQf6N2eQhtPOzk40L/d8NLkttkVITfG+lwJj9cPQLxTGKP7JmVNa7kLOlKyDxbNskVv6LW
HKTscVdXyjkJ67QjJDad9q3eIJyaZOnNnS6eGBmMp1QX8jVljL4F1RrfaW5nNZ67rK8cUnNHLLeV
0JpP861lmyMD2EkWD1FswgbXZ0QRHd+2RaOecK4/VlllrmOd8doxJIfHvN8oDbP/aKxI5kQA2j9k
hFTeEedI9o+hixkRCXScbSUHXnHuKIvvDmhbEaUagUZHz7MwaPo858zXu97YGBWRNZpi2144609D
ltV7gGVwgpjPq0N8C3l5xGgvEUL6NnXYxjAnwyvzaDGoDeAdcJxHiOZYS++FRb93p5WA27FfQZJa
1EAZSXgzUqkX9O9Kk/fDHK5QF+77VLxNUsySA68lYNN7E5ZSHN2pfcRNaGxcJmDvUO/IowoVG5A/
c0IizINI7U1G31F03xnYIn3Aavm1kxbNTV4CI+YqF7Ht1UVlUdN31l2mkxKiEMr1NmxD7QzcPw3M
yGI4t9Sfeg1tJeXMYgVhk+CmntLuOOM4b1NL3+iOOl9x4sKQoVrIcUolPKt6/4zytNyYTBcOsdWG
0WnqRT6eZ2AmzXskgd07MTXD5yQdQTQWtXlaOz0PmbVmnprlcGVinbI2/Vhwyaa6aK8HTbzDhz/c
KLVGbvskPhllwdFmqiD6M3QjJgNVYQ6h+5aGp9r5RSudtw7QsNdEh1ebdAzzwGo4Z20WWEjFXhiD
mW5Di2EMSc/T9C5GzS18jDQJDRSlgfWepS1KJ97lwLT7IgBMM4rzWC3Q3kUsruo1f34zqzI8j7V2
N5nq26Vz34p2oHYESNbagjazayVwnAwKunY3MszaiUiznqhdX0dh/UngNJMeEap1wH4lYE2Mo3Mb
59jhStdJEDlY2j5izbnnL6Cj1rv4pgM1zSlyOswq0DVuZjSamyHqJu2a3Pcl2jnh3EbUCPXbIlFq
dmCSRnhK3ZaYmxAteUlx22SIUEZ9JNrEmreDcHfS0ONDli1jc9YWDRnLEKpM2RhQpSfEGdhYk46g
Zm9GFHHdgdMObL2KD7Bw1KCp+8mzbMw4am05T0ZLBpHXL6dS2ArRBl28y0jwoTLQlK0ZAr5whZy2
pUG0YoQc6Xk2dekXaTOdiJyC90V21ApHBYPAVNrL2tQ8Iw3LgtrKRg/dU7FxRgr1lBypY5rpTOWG
od6NhDZtRrWIrqfRnLgC6QrxJnnqYPZOez2jV30zRX485Cd8zBFqYHJivQQvTTArerFN65Ml52c0
c5ZfgdY4zEu4BCY/dcpNUV2rud5QdxjKzKSYOSDQPPj19gFvscNK1TZn3W311zSCSCGCPu/HphpP
CFgWuQuVsKIPn2fZ2yVlDm3MNjlchkp7qx3fcbzEbjkOWKsxULVbhMNrQvh4ky+R/ExrAMcgaL4t
QRio0uykHnZzSFZ8aDVrdJKbebFFvBhpHsMhLGSO2HQNQsuHd2wsFpq/fNyXSzOt9sNKWby+niZO
4kXSf9BKdpvANuzuihwqjLyR+hChhMTvWIgTzDRM06WT7nKbFGB6FHtsrgQcsMGibCPASwXzttfa
ErOXpEYNXYKtrImgA4pKcbJ6ymx2bGfb1UK7GsiIPs2lnYDwyu9DayGPp4vsHfJ6EprCNvk8QKWq
gPQ5hgfswdhM6pgD1NMaQFBqAS0myhpfzPpdS+ydUs2a3Jh8RK/jOgIUIWaclHmtrEwc1zcZ9B5p
uYXbaWhOc1E0pBTM3UezaudNVNQT4MC8voJixEiEsNBDu7i/EE9SHCITq5+LeG/Ipl+YSxFfD0sL
XzLbDe7Eg9N20Z7hje4XoXMz0muiOaHf6AWhG84wmufJSIpti/sykun9IDrlPMXp3cx1PYazqfFp
zG8iu1i2M8Z+tkbCmzmOjJ1FtAZeByNzMQaYI/j+lvr00cggdU0D1/W+QQJlHUGOgeLCTxhVgcbO
2eLrWlVPvdAlEijjooeyICCKIA7denkoEuEqz9NFRZXYoPF8Di7YEl+EVtiycywTdq+qcl+byYNp
t1aKDGuhlOlwOgI6BIRFj0fVPYbIacWkuC0+yYq8M49pfXOrVZoS+3XaLk96PcxPRSXmo02E6mkg
C2bXSGUiIaOwZ2ujSpBInLQmlv685BqMcU+UmUDuUrBiOplivZepk+J9GdIjHfpBRyluF/fOMiTH
QhSdD0UisIH2bKXmRB8bbVBwx6Hn7KTTbFFAqHQGemD/RcnymkHDatHKAz2ORRS9QUdS+3bKYbat
s46io9CNfdIu6M3FYg40hAZ1oo2kcz6paHaf2noo4qDXWoaMniYHzo/sXGKLgq4F8yRjJ910NgSA
JQPBIzu1xNHndONwELEk7zXOFFp5DR51iC1kVjMfdW9Vwlb6TdUvTbLNTFh0leMCIo31AQEkI/23
pF/EmE5SkZ6duG3uwcrREXItmWwqfFG7Lglh2zAA3i9qPI8e87dReEK2dgeuSPZPOdYuP0QOeFWk
TmF6ORK650VPCAzpzJ3eo58kqAVLDbp5cr0aqF5oOPVxT9TMhLyEjKBAnxUEQHLF21ABNfmmsDTY
l4khnvAlpxvmmiEucNSknIolybfcLr3YJG3fP7N4L4HORTpVrvqLgUmUDzbwGY93NGywyRLZ6Lkt
UR1TP6TSawdT2/QoYuuNYcXFbdl0DiflLB6C3oyvsf7XeJSL/moabPNgEaQisVw55rnL2yELOqh1
O6O02sDlTTs6Q9eMfl4a8uMcOmQ+UHM/atKyT6ERl0Bd5WgT6E1p5oeRGrnXhTD1jSbt5x499RM+
J4wJkWkg4uBUrc2mOLTAVZEFoQN6q9cGkNgOCAEzBJt1gAiX65w+2ycNLf+GPr/6nvU0OSaTgm+W
GM3nccw6SRhMYROa0CTEiPSCBJGIEymTDqxs6Lb11XWODROya4AxzN25M202cx5HaEvjdMNRdbrv
EOl4RIzOm9TEV18hQHkvGxQunlZVxlZNKgD0tVq3QaONPYLeGTZF2Dd4p0lw0UZhfwRpPl8BK19u
HPIRHuqJgfWG9Tz9XPVq9xq3RP4cqSKPONin7rGS2BMSOxdHUYcQ0LlfT0QtW2d96afNRCPmoIGU
C5TFVFBaG3UgUSlT+2OZNc2QJqLdxxlLc1FuJwsDapor5WEW1OK1m0+vqxaBqSLaoK8bpNgRHNs0
LcabFHDziUVi9PkA8mGxxzWLjZVPXyfcsdLUAVFqViDJtkHRM8rGq4qOz3prpKc6oUaBWtJQQPX5
hzizzGUPs2AKkmaw6E9V00cUPjEMxtydr0dNm/Xt1BrV9nKo/X/jvvjyQlZwT3A515+HT628/9QN
ed991Xqs372MVF9X/70f+vkf+hK59l/4OXTUnhy+v+soXJ7U5Rn/7G/k7/ukHz6S56YzBKcfgEqU
qdL6hZkjJ4jsy7cV130FGQz7LJPty9dLC+Obi/Rnl+Hnr/Dlev78Z372Cl5aLoeP//4XT3wd6/2P
roLmvDLXeTt9ky9f318FGiu4SpDoOGvqA18vNpr//avwgbS4fr0bgfR9FxGirZKmv3INfvgL39wJ
7iuTwSzGVfvX1/jDnSDIEED6a7xco5cH/N+/Bu8/FozfEpK2kg/9t/IOkzHUX7sIP/yJby6C/YrI
apprJBhcvn74OFDIw9NiLolA++UqXB7w/9BFwF31O9P8310UELK4uqsZfPD/8FawzVe0JAWnri+3
AmN+7r2/dBX+wg/9uspu4iT/eFlfk0/dHy3Df/YDX9eV33//P1m72t60YSD8V9B+wSAdhQ+rNFFp
sC102ipN+3gk7rBI48qGUf79Hju47SW8TJw/JsBj++He4tyd9zbFGw6vMuyL3tw2YzfWxV/fMFEJ
S3zzYVxyGGf/8/0Cu0OzseKq4s2pVpbwPmYXPtjtp9mcufmpogXxjnEw1jBBrzP5+I7N840WnAF2
K1bph/Q8JH+IcdFGytQceOxdlRx4RbUjF5GC/UfmZrw+6DBfrOIpKiZU6QdjWzvvjUWRznpiKmOp
NHGWftYooYDSyJHrWhVrjUPyIlgAR11mvL6ckltV0ZasikgeeTTKEpAdjXfPPPRAzuZxwetNcbpV
AinEO0yrSy6FTawgpf2zMnhLw5FhD+EQpchTMK51xAninYXaHCnwrKQlE0CUNvQTmJAZesHjXEiu
kdiaTSB/s7rU1LIiOH4FsZ6YDLPlfx7SH5FjJIX92rVNw74/I0gMDIBNsdpFpCAXQ7Acb1yu5N8M
8i86NKO8O4Fs5KRrZj18amyCOedkdxXVZVy9p2PwHgF6vHE5HTk5R8Vy49R6zWQa5WlXKSjRxVL/
IR66I6hM4AtyDV/g2sdyI05NoDC5dmh5h7Y4T8w2DdCCMRG62dg2dJKJIwO8ZUMG/evRWC4pc7Ww
OD6F2RGkefo+UlJ1n6u/xP0WSiezBOHTXG17U3p8cqijY4oJ/HEC7fH4X5R1ahdJCKrpmxnHG5er
pgfP1bMumBvD445/+pdTvu39NnYVkfbz9k9SYmhjUao7IWvgKbm4oDtXsgFuadXWfeSNJAhJ7paa
M34VCnmltJzqg308nea/Yvm7o23hhMDfz/RHEcL/WJpS9Wau49uuh740Qsr4z1AzfkgQfdV4Ar/c
DNAVxFiULqTnHuwr5xSzXKie81lOUm7u1TN/qtzvrUpxj5UlCqk4UdskRT6Uf/YhSyF/p882Fs77
bPKcFF+7wiA3lEVu2TA0F5IKyS90x8Ohz1GKve/J0GHprM88tNP0sgvX3X+KW+6HfsY31/w3ikqR
vfkHAAD//w==</cx:binary>
              </cx:geoCache>
            </cx:geography>
          </cx:layoutPr>
        </cx:series>
      </cx:plotAreaRegion>
    </cx:plotArea>
    <cx:legend pos="r" align="min" overlay="0">
      <cx:spPr>
        <a:solidFill>
          <a:schemeClr val="bg1"/>
        </a:solidFill>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2.xml"/><Relationship Id="rId3" Type="http://schemas.openxmlformats.org/officeDocument/2006/relationships/image" Target="../media/image3.png"/><Relationship Id="rId21" Type="http://schemas.openxmlformats.org/officeDocument/2006/relationships/chart" Target="../charts/chart4.xml"/><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chart" Target="../charts/chart1.xml"/><Relationship Id="rId2" Type="http://schemas.openxmlformats.org/officeDocument/2006/relationships/image" Target="../media/image2.svg"/><Relationship Id="rId16" Type="http://schemas.openxmlformats.org/officeDocument/2006/relationships/image" Target="../media/image16.svg"/><Relationship Id="rId20"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8.sv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17.png"/><Relationship Id="rId10" Type="http://schemas.openxmlformats.org/officeDocument/2006/relationships/image" Target="../media/image10.svg"/><Relationship Id="rId19"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23</xdr:col>
      <xdr:colOff>532725</xdr:colOff>
      <xdr:row>40</xdr:row>
      <xdr:rowOff>136800</xdr:rowOff>
    </xdr:to>
    <xdr:sp macro="" textlink="">
      <xdr:nvSpPr>
        <xdr:cNvPr id="2" name="Rectangle: Rounded Corners 1">
          <a:extLst>
            <a:ext uri="{FF2B5EF4-FFF2-40B4-BE49-F238E27FC236}">
              <a16:creationId xmlns:a16="http://schemas.microsoft.com/office/drawing/2014/main" id="{81AD049F-63CB-930A-13BD-26F5137B6DEF}"/>
            </a:ext>
          </a:extLst>
        </xdr:cNvPr>
        <xdr:cNvSpPr/>
      </xdr:nvSpPr>
      <xdr:spPr>
        <a:xfrm>
          <a:off x="9525" y="0"/>
          <a:ext cx="14544000" cy="7375800"/>
        </a:xfrm>
        <a:prstGeom prst="roundRect">
          <a:avLst>
            <a:gd name="adj" fmla="val 306"/>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endParaRPr lang="en-IN" sz="1100"/>
        </a:p>
      </xdr:txBody>
    </xdr:sp>
    <xdr:clientData/>
  </xdr:twoCellAnchor>
  <xdr:twoCellAnchor>
    <xdr:from>
      <xdr:col>0</xdr:col>
      <xdr:colOff>157843</xdr:colOff>
      <xdr:row>0</xdr:row>
      <xdr:rowOff>97972</xdr:rowOff>
    </xdr:from>
    <xdr:to>
      <xdr:col>3</xdr:col>
      <xdr:colOff>129043</xdr:colOff>
      <xdr:row>40</xdr:row>
      <xdr:rowOff>75112</xdr:rowOff>
    </xdr:to>
    <xdr:sp macro="" textlink="">
      <xdr:nvSpPr>
        <xdr:cNvPr id="3" name="Rectangle: Rounded Corners 2">
          <a:extLst>
            <a:ext uri="{FF2B5EF4-FFF2-40B4-BE49-F238E27FC236}">
              <a16:creationId xmlns:a16="http://schemas.microsoft.com/office/drawing/2014/main" id="{D3F242EA-FFCC-DBC3-45A0-1A304AF8E809}"/>
            </a:ext>
          </a:extLst>
        </xdr:cNvPr>
        <xdr:cNvSpPr/>
      </xdr:nvSpPr>
      <xdr:spPr>
        <a:xfrm>
          <a:off x="157843" y="97972"/>
          <a:ext cx="1800000" cy="7379426"/>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239486</xdr:colOff>
      <xdr:row>0</xdr:row>
      <xdr:rowOff>81098</xdr:rowOff>
    </xdr:from>
    <xdr:to>
      <xdr:col>23</xdr:col>
      <xdr:colOff>533400</xdr:colOff>
      <xdr:row>4</xdr:row>
      <xdr:rowOff>181660</xdr:rowOff>
    </xdr:to>
    <xdr:sp macro="" textlink="">
      <xdr:nvSpPr>
        <xdr:cNvPr id="4" name="Rectangle: Rounded Corners 3">
          <a:extLst>
            <a:ext uri="{FF2B5EF4-FFF2-40B4-BE49-F238E27FC236}">
              <a16:creationId xmlns:a16="http://schemas.microsoft.com/office/drawing/2014/main" id="{B4C45CF3-C999-3CC2-FA59-AD9CAF9DF995}"/>
            </a:ext>
          </a:extLst>
        </xdr:cNvPr>
        <xdr:cNvSpPr/>
      </xdr:nvSpPr>
      <xdr:spPr>
        <a:xfrm>
          <a:off x="2068286" y="81098"/>
          <a:ext cx="12485914" cy="840791"/>
        </a:xfrm>
        <a:prstGeom prst="round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286294</xdr:colOff>
      <xdr:row>5</xdr:row>
      <xdr:rowOff>105592</xdr:rowOff>
    </xdr:from>
    <xdr:to>
      <xdr:col>7</xdr:col>
      <xdr:colOff>223894</xdr:colOff>
      <xdr:row>10</xdr:row>
      <xdr:rowOff>127192</xdr:rowOff>
    </xdr:to>
    <xdr:sp macro="" textlink="">
      <xdr:nvSpPr>
        <xdr:cNvPr id="5" name="Rectangle: Rounded Corners 4">
          <a:extLst>
            <a:ext uri="{FF2B5EF4-FFF2-40B4-BE49-F238E27FC236}">
              <a16:creationId xmlns:a16="http://schemas.microsoft.com/office/drawing/2014/main" id="{F7B38C38-C42A-CCB1-A085-E1E9C2A0AE73}"/>
            </a:ext>
          </a:extLst>
        </xdr:cNvPr>
        <xdr:cNvSpPr/>
      </xdr:nvSpPr>
      <xdr:spPr>
        <a:xfrm>
          <a:off x="2115094" y="1030878"/>
          <a:ext cx="2376000" cy="94688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346165</xdr:colOff>
      <xdr:row>5</xdr:row>
      <xdr:rowOff>116477</xdr:rowOff>
    </xdr:from>
    <xdr:to>
      <xdr:col>11</xdr:col>
      <xdr:colOff>283765</xdr:colOff>
      <xdr:row>10</xdr:row>
      <xdr:rowOff>138077</xdr:rowOff>
    </xdr:to>
    <xdr:sp macro="" textlink="">
      <xdr:nvSpPr>
        <xdr:cNvPr id="6" name="Rectangle: Rounded Corners 5">
          <a:extLst>
            <a:ext uri="{FF2B5EF4-FFF2-40B4-BE49-F238E27FC236}">
              <a16:creationId xmlns:a16="http://schemas.microsoft.com/office/drawing/2014/main" id="{B4BA9308-E1A5-D87C-1FAC-6CAC9058C95C}"/>
            </a:ext>
          </a:extLst>
        </xdr:cNvPr>
        <xdr:cNvSpPr/>
      </xdr:nvSpPr>
      <xdr:spPr>
        <a:xfrm>
          <a:off x="4613365" y="1041763"/>
          <a:ext cx="2376000" cy="94688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425087</xdr:colOff>
      <xdr:row>5</xdr:row>
      <xdr:rowOff>140154</xdr:rowOff>
    </xdr:from>
    <xdr:to>
      <xdr:col>15</xdr:col>
      <xdr:colOff>362687</xdr:colOff>
      <xdr:row>10</xdr:row>
      <xdr:rowOff>165837</xdr:rowOff>
    </xdr:to>
    <xdr:sp macro="" textlink="">
      <xdr:nvSpPr>
        <xdr:cNvPr id="7" name="Rectangle: Rounded Corners 6">
          <a:extLst>
            <a:ext uri="{FF2B5EF4-FFF2-40B4-BE49-F238E27FC236}">
              <a16:creationId xmlns:a16="http://schemas.microsoft.com/office/drawing/2014/main" id="{B954B624-425B-04E0-07FB-39A1DC66B625}"/>
            </a:ext>
          </a:extLst>
        </xdr:cNvPr>
        <xdr:cNvSpPr/>
      </xdr:nvSpPr>
      <xdr:spPr>
        <a:xfrm>
          <a:off x="7130687" y="1065440"/>
          <a:ext cx="2376000" cy="95096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463459</xdr:colOff>
      <xdr:row>5</xdr:row>
      <xdr:rowOff>142058</xdr:rowOff>
    </xdr:from>
    <xdr:to>
      <xdr:col>19</xdr:col>
      <xdr:colOff>478699</xdr:colOff>
      <xdr:row>10</xdr:row>
      <xdr:rowOff>167741</xdr:rowOff>
    </xdr:to>
    <xdr:sp macro="" textlink="">
      <xdr:nvSpPr>
        <xdr:cNvPr id="9" name="Rectangle: Rounded Corners 8">
          <a:extLst>
            <a:ext uri="{FF2B5EF4-FFF2-40B4-BE49-F238E27FC236}">
              <a16:creationId xmlns:a16="http://schemas.microsoft.com/office/drawing/2014/main" id="{E2016B63-E77D-E34E-87FF-5FF5B900B145}"/>
            </a:ext>
          </a:extLst>
        </xdr:cNvPr>
        <xdr:cNvSpPr/>
      </xdr:nvSpPr>
      <xdr:spPr>
        <a:xfrm>
          <a:off x="9607459" y="1067344"/>
          <a:ext cx="2453640" cy="95096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JNNFN</a:t>
          </a:r>
        </a:p>
      </xdr:txBody>
    </xdr:sp>
    <xdr:clientData/>
  </xdr:twoCellAnchor>
  <xdr:twoCellAnchor>
    <xdr:from>
      <xdr:col>19</xdr:col>
      <xdr:colOff>578848</xdr:colOff>
      <xdr:row>5</xdr:row>
      <xdr:rowOff>112939</xdr:rowOff>
    </xdr:from>
    <xdr:to>
      <xdr:col>23</xdr:col>
      <xdr:colOff>516448</xdr:colOff>
      <xdr:row>10</xdr:row>
      <xdr:rowOff>134539</xdr:rowOff>
    </xdr:to>
    <xdr:sp macro="" textlink="">
      <xdr:nvSpPr>
        <xdr:cNvPr id="10" name="Rectangle: Rounded Corners 9">
          <a:extLst>
            <a:ext uri="{FF2B5EF4-FFF2-40B4-BE49-F238E27FC236}">
              <a16:creationId xmlns:a16="http://schemas.microsoft.com/office/drawing/2014/main" id="{C129D080-39F1-DCAB-9E55-F84BBD0234F3}"/>
            </a:ext>
          </a:extLst>
        </xdr:cNvPr>
        <xdr:cNvSpPr/>
      </xdr:nvSpPr>
      <xdr:spPr>
        <a:xfrm>
          <a:off x="12161248" y="1038225"/>
          <a:ext cx="2376000" cy="94688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360317</xdr:colOff>
      <xdr:row>6</xdr:row>
      <xdr:rowOff>112123</xdr:rowOff>
    </xdr:from>
    <xdr:to>
      <xdr:col>4</xdr:col>
      <xdr:colOff>306977</xdr:colOff>
      <xdr:row>9</xdr:row>
      <xdr:rowOff>119743</xdr:rowOff>
    </xdr:to>
    <xdr:pic>
      <xdr:nvPicPr>
        <xdr:cNvPr id="14" name="Graphic 13" descr="Users with solid fill">
          <a:extLst>
            <a:ext uri="{FF2B5EF4-FFF2-40B4-BE49-F238E27FC236}">
              <a16:creationId xmlns:a16="http://schemas.microsoft.com/office/drawing/2014/main" id="{8243F076-0F74-3A6B-CDFC-0685BAE0FF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89117" y="1222466"/>
          <a:ext cx="556260" cy="562791"/>
        </a:xfrm>
        <a:prstGeom prst="rect">
          <a:avLst/>
        </a:prstGeom>
      </xdr:spPr>
    </xdr:pic>
    <xdr:clientData/>
  </xdr:twoCellAnchor>
  <xdr:twoCellAnchor editAs="oneCell">
    <xdr:from>
      <xdr:col>7</xdr:col>
      <xdr:colOff>447403</xdr:colOff>
      <xdr:row>6</xdr:row>
      <xdr:rowOff>160020</xdr:rowOff>
    </xdr:from>
    <xdr:to>
      <xdr:col>8</xdr:col>
      <xdr:colOff>395803</xdr:colOff>
      <xdr:row>9</xdr:row>
      <xdr:rowOff>169380</xdr:rowOff>
    </xdr:to>
    <xdr:pic>
      <xdr:nvPicPr>
        <xdr:cNvPr id="16" name="Graphic 15" descr="Gauge with solid fill">
          <a:extLst>
            <a:ext uri="{FF2B5EF4-FFF2-40B4-BE49-F238E27FC236}">
              <a16:creationId xmlns:a16="http://schemas.microsoft.com/office/drawing/2014/main" id="{AAB40E3B-75ED-263D-7514-FB7AE4EA675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14603" y="1270363"/>
          <a:ext cx="558000" cy="564531"/>
        </a:xfrm>
        <a:prstGeom prst="rect">
          <a:avLst/>
        </a:prstGeom>
      </xdr:spPr>
    </xdr:pic>
    <xdr:clientData/>
  </xdr:twoCellAnchor>
  <xdr:twoCellAnchor editAs="oneCell">
    <xdr:from>
      <xdr:col>11</xdr:col>
      <xdr:colOff>507819</xdr:colOff>
      <xdr:row>6</xdr:row>
      <xdr:rowOff>165735</xdr:rowOff>
    </xdr:from>
    <xdr:to>
      <xdr:col>12</xdr:col>
      <xdr:colOff>456219</xdr:colOff>
      <xdr:row>9</xdr:row>
      <xdr:rowOff>175095</xdr:rowOff>
    </xdr:to>
    <xdr:pic>
      <xdr:nvPicPr>
        <xdr:cNvPr id="18" name="Graphic 17" descr="Bullseye with solid fill">
          <a:extLst>
            <a:ext uri="{FF2B5EF4-FFF2-40B4-BE49-F238E27FC236}">
              <a16:creationId xmlns:a16="http://schemas.microsoft.com/office/drawing/2014/main" id="{D0C79307-D43A-75C5-E2CD-1DA54CE5327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13419" y="1276078"/>
          <a:ext cx="558000" cy="564531"/>
        </a:xfrm>
        <a:prstGeom prst="rect">
          <a:avLst/>
        </a:prstGeom>
      </xdr:spPr>
    </xdr:pic>
    <xdr:clientData/>
  </xdr:twoCellAnchor>
  <xdr:twoCellAnchor editAs="oneCell">
    <xdr:from>
      <xdr:col>15</xdr:col>
      <xdr:colOff>558709</xdr:colOff>
      <xdr:row>7</xdr:row>
      <xdr:rowOff>15512</xdr:rowOff>
    </xdr:from>
    <xdr:to>
      <xdr:col>16</xdr:col>
      <xdr:colOff>507109</xdr:colOff>
      <xdr:row>10</xdr:row>
      <xdr:rowOff>24872</xdr:rowOff>
    </xdr:to>
    <xdr:pic>
      <xdr:nvPicPr>
        <xdr:cNvPr id="20" name="Graphic 19" descr="Checklist with solid fill">
          <a:extLst>
            <a:ext uri="{FF2B5EF4-FFF2-40B4-BE49-F238E27FC236}">
              <a16:creationId xmlns:a16="http://schemas.microsoft.com/office/drawing/2014/main" id="{5DBB78C6-8EC8-2AF3-F08D-62954D9253D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702709" y="1310912"/>
          <a:ext cx="558000" cy="564531"/>
        </a:xfrm>
        <a:prstGeom prst="rect">
          <a:avLst/>
        </a:prstGeom>
      </xdr:spPr>
    </xdr:pic>
    <xdr:clientData/>
  </xdr:twoCellAnchor>
  <xdr:twoCellAnchor editAs="oneCell">
    <xdr:from>
      <xdr:col>20</xdr:col>
      <xdr:colOff>12518</xdr:colOff>
      <xdr:row>6</xdr:row>
      <xdr:rowOff>99060</xdr:rowOff>
    </xdr:from>
    <xdr:to>
      <xdr:col>20</xdr:col>
      <xdr:colOff>570518</xdr:colOff>
      <xdr:row>9</xdr:row>
      <xdr:rowOff>112502</xdr:rowOff>
    </xdr:to>
    <xdr:pic>
      <xdr:nvPicPr>
        <xdr:cNvPr id="22" name="Graphic 21" descr="Ribbon with solid fill">
          <a:extLst>
            <a:ext uri="{FF2B5EF4-FFF2-40B4-BE49-F238E27FC236}">
              <a16:creationId xmlns:a16="http://schemas.microsoft.com/office/drawing/2014/main" id="{E34963DA-1CFA-61ED-D12D-299EAFD6224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204518" y="1209403"/>
          <a:ext cx="558000" cy="568613"/>
        </a:xfrm>
        <a:prstGeom prst="rect">
          <a:avLst/>
        </a:prstGeom>
      </xdr:spPr>
    </xdr:pic>
    <xdr:clientData/>
  </xdr:twoCellAnchor>
  <xdr:twoCellAnchor editAs="oneCell">
    <xdr:from>
      <xdr:col>3</xdr:col>
      <xdr:colOff>351609</xdr:colOff>
      <xdr:row>1</xdr:row>
      <xdr:rowOff>35106</xdr:rowOff>
    </xdr:from>
    <xdr:to>
      <xdr:col>4</xdr:col>
      <xdr:colOff>412569</xdr:colOff>
      <xdr:row>4</xdr:row>
      <xdr:rowOff>155121</xdr:rowOff>
    </xdr:to>
    <xdr:pic>
      <xdr:nvPicPr>
        <xdr:cNvPr id="24" name="Picture 23">
          <a:extLst>
            <a:ext uri="{FF2B5EF4-FFF2-40B4-BE49-F238E27FC236}">
              <a16:creationId xmlns:a16="http://schemas.microsoft.com/office/drawing/2014/main" id="{21F16477-B4A2-998B-65B1-10169AAB6AF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180409" y="220163"/>
          <a:ext cx="670560" cy="675187"/>
        </a:xfrm>
        <a:prstGeom prst="rect">
          <a:avLst/>
        </a:prstGeom>
      </xdr:spPr>
    </xdr:pic>
    <xdr:clientData/>
  </xdr:twoCellAnchor>
  <xdr:twoCellAnchor editAs="oneCell">
    <xdr:from>
      <xdr:col>0</xdr:col>
      <xdr:colOff>585650</xdr:colOff>
      <xdr:row>1</xdr:row>
      <xdr:rowOff>26126</xdr:rowOff>
    </xdr:from>
    <xdr:to>
      <xdr:col>2</xdr:col>
      <xdr:colOff>189411</xdr:colOff>
      <xdr:row>5</xdr:row>
      <xdr:rowOff>48986</xdr:rowOff>
    </xdr:to>
    <xdr:pic>
      <xdr:nvPicPr>
        <xdr:cNvPr id="28" name="Picture 27">
          <a:extLst>
            <a:ext uri="{FF2B5EF4-FFF2-40B4-BE49-F238E27FC236}">
              <a16:creationId xmlns:a16="http://schemas.microsoft.com/office/drawing/2014/main" id="{A2475CFA-D0BE-CF4F-AC93-4E8C290B6A5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85650" y="211183"/>
          <a:ext cx="822961" cy="763089"/>
        </a:xfrm>
        <a:prstGeom prst="rect">
          <a:avLst/>
        </a:prstGeom>
      </xdr:spPr>
    </xdr:pic>
    <xdr:clientData/>
  </xdr:twoCellAnchor>
  <xdr:twoCellAnchor editAs="oneCell">
    <xdr:from>
      <xdr:col>19</xdr:col>
      <xdr:colOff>42182</xdr:colOff>
      <xdr:row>0</xdr:row>
      <xdr:rowOff>176077</xdr:rowOff>
    </xdr:from>
    <xdr:to>
      <xdr:col>20</xdr:col>
      <xdr:colOff>156482</xdr:colOff>
      <xdr:row>4</xdr:row>
      <xdr:rowOff>168457</xdr:rowOff>
    </xdr:to>
    <xdr:pic macro="[0]!Graphic10_Click">
      <xdr:nvPicPr>
        <xdr:cNvPr id="11" name="Graphic 10" descr="Monitor with solid fill">
          <a:extLst>
            <a:ext uri="{FF2B5EF4-FFF2-40B4-BE49-F238E27FC236}">
              <a16:creationId xmlns:a16="http://schemas.microsoft.com/office/drawing/2014/main" id="{189710DA-C9D0-93B4-AD5B-36234E68B86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624582" y="176077"/>
          <a:ext cx="723900" cy="732609"/>
        </a:xfrm>
        <a:prstGeom prst="rect">
          <a:avLst/>
        </a:prstGeom>
      </xdr:spPr>
    </xdr:pic>
    <xdr:clientData/>
  </xdr:twoCellAnchor>
  <xdr:twoCellAnchor editAs="oneCell">
    <xdr:from>
      <xdr:col>20</xdr:col>
      <xdr:colOff>176621</xdr:colOff>
      <xdr:row>0</xdr:row>
      <xdr:rowOff>160837</xdr:rowOff>
    </xdr:from>
    <xdr:to>
      <xdr:col>21</xdr:col>
      <xdr:colOff>191861</xdr:colOff>
      <xdr:row>4</xdr:row>
      <xdr:rowOff>54157</xdr:rowOff>
    </xdr:to>
    <xdr:pic>
      <xdr:nvPicPr>
        <xdr:cNvPr id="13" name="Graphic 12" descr="Daily calendar with solid fill">
          <a:extLst>
            <a:ext uri="{FF2B5EF4-FFF2-40B4-BE49-F238E27FC236}">
              <a16:creationId xmlns:a16="http://schemas.microsoft.com/office/drawing/2014/main" id="{127C4347-DE3D-BCFD-BD82-C4615425C9A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368621" y="160837"/>
          <a:ext cx="624840" cy="633549"/>
        </a:xfrm>
        <a:prstGeom prst="rect">
          <a:avLst/>
        </a:prstGeom>
      </xdr:spPr>
    </xdr:pic>
    <xdr:clientData/>
  </xdr:twoCellAnchor>
  <xdr:twoCellAnchor>
    <xdr:from>
      <xdr:col>4</xdr:col>
      <xdr:colOff>444410</xdr:colOff>
      <xdr:row>1</xdr:row>
      <xdr:rowOff>72390</xdr:rowOff>
    </xdr:from>
    <xdr:to>
      <xdr:col>17</xdr:col>
      <xdr:colOff>337730</xdr:colOff>
      <xdr:row>4</xdr:row>
      <xdr:rowOff>26670</xdr:rowOff>
    </xdr:to>
    <xdr:sp macro="" textlink="">
      <xdr:nvSpPr>
        <xdr:cNvPr id="15" name="TextBox 14">
          <a:extLst>
            <a:ext uri="{FF2B5EF4-FFF2-40B4-BE49-F238E27FC236}">
              <a16:creationId xmlns:a16="http://schemas.microsoft.com/office/drawing/2014/main" id="{11CB4EF1-FF9C-A8B6-175E-CB7FF60232A1}"/>
            </a:ext>
          </a:extLst>
        </xdr:cNvPr>
        <xdr:cNvSpPr txBox="1"/>
      </xdr:nvSpPr>
      <xdr:spPr>
        <a:xfrm>
          <a:off x="2882810" y="257447"/>
          <a:ext cx="7818120" cy="509452"/>
        </a:xfrm>
        <a:prstGeom prst="rect">
          <a:avLst/>
        </a:prstGeom>
        <a:solidFill>
          <a:schemeClr val="tx2">
            <a:lumMod val="25000"/>
            <a:lumOff val="75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600" b="1">
              <a:solidFill>
                <a:schemeClr val="bg1"/>
              </a:solidFill>
            </a:rPr>
            <a:t>EMPLOYEE</a:t>
          </a:r>
          <a:r>
            <a:rPr lang="en-IN" sz="3600" b="1" baseline="0">
              <a:solidFill>
                <a:schemeClr val="bg1"/>
              </a:solidFill>
            </a:rPr>
            <a:t> PERFORMANCE DASHBOARD</a:t>
          </a:r>
          <a:endParaRPr lang="en-IN" sz="3600" b="1">
            <a:solidFill>
              <a:schemeClr val="bg1"/>
            </a:solidFill>
          </a:endParaRPr>
        </a:p>
      </xdr:txBody>
    </xdr:sp>
    <xdr:clientData/>
  </xdr:twoCellAnchor>
  <xdr:twoCellAnchor>
    <xdr:from>
      <xdr:col>21</xdr:col>
      <xdr:colOff>265067</xdr:colOff>
      <xdr:row>1</xdr:row>
      <xdr:rowOff>11430</xdr:rowOff>
    </xdr:from>
    <xdr:to>
      <xdr:col>23</xdr:col>
      <xdr:colOff>318407</xdr:colOff>
      <xdr:row>2</xdr:row>
      <xdr:rowOff>120287</xdr:rowOff>
    </xdr:to>
    <xdr:sp macro="" textlink="">
      <xdr:nvSpPr>
        <xdr:cNvPr id="21" name="TextBox 20">
          <a:extLst>
            <a:ext uri="{FF2B5EF4-FFF2-40B4-BE49-F238E27FC236}">
              <a16:creationId xmlns:a16="http://schemas.microsoft.com/office/drawing/2014/main" id="{8F0FB94F-1E24-3BB5-6334-AA4E8641973F}"/>
            </a:ext>
          </a:extLst>
        </xdr:cNvPr>
        <xdr:cNvSpPr txBox="1"/>
      </xdr:nvSpPr>
      <xdr:spPr>
        <a:xfrm>
          <a:off x="13066667" y="196487"/>
          <a:ext cx="1272540" cy="293914"/>
        </a:xfrm>
        <a:prstGeom prst="rect">
          <a:avLst/>
        </a:prstGeom>
        <a:solidFill>
          <a:schemeClr val="tx2">
            <a:lumMod val="25000"/>
            <a:lumOff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Date</a:t>
          </a:r>
          <a:r>
            <a:rPr lang="en-IN" sz="1400" b="1" baseline="0">
              <a:solidFill>
                <a:schemeClr val="bg1"/>
              </a:solidFill>
            </a:rPr>
            <a:t> </a:t>
          </a:r>
          <a:r>
            <a:rPr lang="en-IN" sz="1200" b="1" baseline="0">
              <a:solidFill>
                <a:schemeClr val="bg1"/>
              </a:solidFill>
            </a:rPr>
            <a:t>as on :</a:t>
          </a:r>
          <a:endParaRPr lang="en-IN" sz="1400" b="1">
            <a:solidFill>
              <a:schemeClr val="bg1"/>
            </a:solidFill>
          </a:endParaRPr>
        </a:p>
      </xdr:txBody>
    </xdr:sp>
    <xdr:clientData/>
  </xdr:twoCellAnchor>
  <xdr:twoCellAnchor>
    <xdr:from>
      <xdr:col>21</xdr:col>
      <xdr:colOff>244111</xdr:colOff>
      <xdr:row>2</xdr:row>
      <xdr:rowOff>122465</xdr:rowOff>
    </xdr:from>
    <xdr:to>
      <xdr:col>23</xdr:col>
      <xdr:colOff>167911</xdr:colOff>
      <xdr:row>4</xdr:row>
      <xdr:rowOff>32930</xdr:rowOff>
    </xdr:to>
    <xdr:sp macro="" textlink="A1">
      <xdr:nvSpPr>
        <xdr:cNvPr id="23" name="TextBox 22">
          <a:extLst>
            <a:ext uri="{FF2B5EF4-FFF2-40B4-BE49-F238E27FC236}">
              <a16:creationId xmlns:a16="http://schemas.microsoft.com/office/drawing/2014/main" id="{E4B16F51-C2D9-E633-A3A4-14D182AFA83E}"/>
            </a:ext>
          </a:extLst>
        </xdr:cNvPr>
        <xdr:cNvSpPr txBox="1"/>
      </xdr:nvSpPr>
      <xdr:spPr>
        <a:xfrm>
          <a:off x="13045711" y="492579"/>
          <a:ext cx="1143000" cy="280580"/>
        </a:xfrm>
        <a:prstGeom prst="rect">
          <a:avLst/>
        </a:prstGeom>
        <a:solidFill>
          <a:schemeClr val="tx2">
            <a:lumMod val="25000"/>
            <a:lumOff val="75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D3FD75-9E77-466B-9A62-21CA1E27A1E7}" type="TxLink">
            <a:rPr lang="en-US" sz="1400" b="1" i="0" u="none" strike="noStrike">
              <a:solidFill>
                <a:schemeClr val="bg1"/>
              </a:solidFill>
              <a:latin typeface="Aptos Narrow"/>
            </a:rPr>
            <a:t> </a:t>
          </a:fld>
          <a:r>
            <a:rPr lang="en-US" sz="1400" b="1" i="0" u="none" strike="noStrike">
              <a:solidFill>
                <a:schemeClr val="bg1"/>
              </a:solidFill>
              <a:latin typeface="Aptos Narrow"/>
            </a:rPr>
            <a:t>02</a:t>
          </a:r>
          <a:r>
            <a:rPr lang="en-US" sz="1400" b="1" i="0" u="none" strike="noStrike" baseline="0">
              <a:solidFill>
                <a:schemeClr val="bg1"/>
              </a:solidFill>
              <a:latin typeface="Aptos Narrow"/>
            </a:rPr>
            <a:t>  Sep 2026</a:t>
          </a:r>
          <a:endParaRPr lang="en-US" sz="1400" b="1">
            <a:solidFill>
              <a:schemeClr val="bg1"/>
            </a:solidFill>
          </a:endParaRPr>
        </a:p>
      </xdr:txBody>
    </xdr:sp>
    <xdr:clientData/>
  </xdr:twoCellAnchor>
  <xdr:twoCellAnchor>
    <xdr:from>
      <xdr:col>4</xdr:col>
      <xdr:colOff>241663</xdr:colOff>
      <xdr:row>5</xdr:row>
      <xdr:rowOff>175260</xdr:rowOff>
    </xdr:from>
    <xdr:to>
      <xdr:col>6</xdr:col>
      <xdr:colOff>607423</xdr:colOff>
      <xdr:row>7</xdr:row>
      <xdr:rowOff>144780</xdr:rowOff>
    </xdr:to>
    <xdr:sp macro="" textlink="">
      <xdr:nvSpPr>
        <xdr:cNvPr id="25" name="TextBox 24">
          <a:extLst>
            <a:ext uri="{FF2B5EF4-FFF2-40B4-BE49-F238E27FC236}">
              <a16:creationId xmlns:a16="http://schemas.microsoft.com/office/drawing/2014/main" id="{DB990FEB-EFD2-1106-CF01-F3A9E5706819}"/>
            </a:ext>
          </a:extLst>
        </xdr:cNvPr>
        <xdr:cNvSpPr txBox="1"/>
      </xdr:nvSpPr>
      <xdr:spPr>
        <a:xfrm>
          <a:off x="2680063" y="1100546"/>
          <a:ext cx="1584960" cy="3396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75000"/>
                  <a:lumOff val="25000"/>
                </a:schemeClr>
              </a:solidFill>
            </a:rPr>
            <a:t>TOTAL</a:t>
          </a:r>
          <a:r>
            <a:rPr lang="en-IN" sz="1400" b="1" baseline="0">
              <a:solidFill>
                <a:schemeClr val="tx2">
                  <a:lumMod val="75000"/>
                  <a:lumOff val="25000"/>
                </a:schemeClr>
              </a:solidFill>
            </a:rPr>
            <a:t> EMPLOYEES</a:t>
          </a:r>
          <a:endParaRPr lang="en-IN" sz="1400" b="1">
            <a:solidFill>
              <a:schemeClr val="tx2">
                <a:lumMod val="75000"/>
                <a:lumOff val="25000"/>
              </a:schemeClr>
            </a:solidFill>
          </a:endParaRPr>
        </a:p>
      </xdr:txBody>
    </xdr:sp>
    <xdr:clientData/>
  </xdr:twoCellAnchor>
  <xdr:twoCellAnchor>
    <xdr:from>
      <xdr:col>12</xdr:col>
      <xdr:colOff>469174</xdr:colOff>
      <xdr:row>6</xdr:row>
      <xdr:rowOff>25854</xdr:rowOff>
    </xdr:from>
    <xdr:to>
      <xdr:col>15</xdr:col>
      <xdr:colOff>286294</xdr:colOff>
      <xdr:row>7</xdr:row>
      <xdr:rowOff>180431</xdr:rowOff>
    </xdr:to>
    <xdr:sp macro="" textlink="">
      <xdr:nvSpPr>
        <xdr:cNvPr id="29" name="TextBox 28">
          <a:extLst>
            <a:ext uri="{FF2B5EF4-FFF2-40B4-BE49-F238E27FC236}">
              <a16:creationId xmlns:a16="http://schemas.microsoft.com/office/drawing/2014/main" id="{8CB94A15-6187-4256-A75A-69456A5A4543}"/>
            </a:ext>
          </a:extLst>
        </xdr:cNvPr>
        <xdr:cNvSpPr txBox="1"/>
      </xdr:nvSpPr>
      <xdr:spPr>
        <a:xfrm>
          <a:off x="7784374" y="1136197"/>
          <a:ext cx="1645920" cy="3396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5">
                  <a:lumMod val="75000"/>
                </a:schemeClr>
              </a:solidFill>
            </a:rPr>
            <a:t>AVG.</a:t>
          </a:r>
          <a:r>
            <a:rPr lang="en-IN" sz="1400" b="1" baseline="0">
              <a:solidFill>
                <a:schemeClr val="accent5">
                  <a:lumMod val="75000"/>
                </a:schemeClr>
              </a:solidFill>
            </a:rPr>
            <a:t> ACHIEVEMENT</a:t>
          </a:r>
          <a:endParaRPr lang="en-IN" sz="1400" b="1">
            <a:solidFill>
              <a:schemeClr val="accent5">
                <a:lumMod val="75000"/>
              </a:schemeClr>
            </a:solidFill>
          </a:endParaRPr>
        </a:p>
      </xdr:txBody>
    </xdr:sp>
    <xdr:clientData/>
  </xdr:twoCellAnchor>
  <xdr:twoCellAnchor>
    <xdr:from>
      <xdr:col>20</xdr:col>
      <xdr:colOff>481148</xdr:colOff>
      <xdr:row>5</xdr:row>
      <xdr:rowOff>160020</xdr:rowOff>
    </xdr:from>
    <xdr:to>
      <xdr:col>23</xdr:col>
      <xdr:colOff>443048</xdr:colOff>
      <xdr:row>7</xdr:row>
      <xdr:rowOff>129540</xdr:rowOff>
    </xdr:to>
    <xdr:sp macro="" textlink="">
      <xdr:nvSpPr>
        <xdr:cNvPr id="32" name="TextBox 31">
          <a:extLst>
            <a:ext uri="{FF2B5EF4-FFF2-40B4-BE49-F238E27FC236}">
              <a16:creationId xmlns:a16="http://schemas.microsoft.com/office/drawing/2014/main" id="{BAD1D142-78E3-4022-9F56-30D390992AFE}"/>
            </a:ext>
          </a:extLst>
        </xdr:cNvPr>
        <xdr:cNvSpPr txBox="1"/>
      </xdr:nvSpPr>
      <xdr:spPr>
        <a:xfrm>
          <a:off x="12673148" y="1085306"/>
          <a:ext cx="1790700" cy="3396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60000"/>
                  <a:lumOff val="40000"/>
                </a:schemeClr>
              </a:solidFill>
            </a:rPr>
            <a:t>AVG.QUALITY</a:t>
          </a:r>
          <a:r>
            <a:rPr lang="en-IN" sz="1400" b="1" baseline="0">
              <a:solidFill>
                <a:schemeClr val="accent1">
                  <a:lumMod val="60000"/>
                  <a:lumOff val="40000"/>
                </a:schemeClr>
              </a:solidFill>
            </a:rPr>
            <a:t> SCORE</a:t>
          </a:r>
          <a:endParaRPr lang="en-IN" sz="1400" b="1">
            <a:solidFill>
              <a:schemeClr val="accent1">
                <a:lumMod val="60000"/>
                <a:lumOff val="40000"/>
              </a:schemeClr>
            </a:solidFill>
          </a:endParaRPr>
        </a:p>
      </xdr:txBody>
    </xdr:sp>
    <xdr:clientData/>
  </xdr:twoCellAnchor>
  <xdr:twoCellAnchor>
    <xdr:from>
      <xdr:col>8</xdr:col>
      <xdr:colOff>237308</xdr:colOff>
      <xdr:row>5</xdr:row>
      <xdr:rowOff>175260</xdr:rowOff>
    </xdr:from>
    <xdr:to>
      <xdr:col>11</xdr:col>
      <xdr:colOff>168728</xdr:colOff>
      <xdr:row>7</xdr:row>
      <xdr:rowOff>142603</xdr:rowOff>
    </xdr:to>
    <xdr:sp macro="" textlink="">
      <xdr:nvSpPr>
        <xdr:cNvPr id="34" name="TextBox 33">
          <a:extLst>
            <a:ext uri="{FF2B5EF4-FFF2-40B4-BE49-F238E27FC236}">
              <a16:creationId xmlns:a16="http://schemas.microsoft.com/office/drawing/2014/main" id="{4098E698-C697-45D3-A1F7-AA24ED719059}"/>
            </a:ext>
          </a:extLst>
        </xdr:cNvPr>
        <xdr:cNvSpPr txBox="1"/>
      </xdr:nvSpPr>
      <xdr:spPr>
        <a:xfrm>
          <a:off x="5114108" y="1100546"/>
          <a:ext cx="1760220" cy="3374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75000"/>
                </a:schemeClr>
              </a:solidFill>
            </a:rPr>
            <a:t>AVG.</a:t>
          </a:r>
          <a:r>
            <a:rPr lang="en-IN" sz="1400" b="1" baseline="0">
              <a:solidFill>
                <a:schemeClr val="accent6">
                  <a:lumMod val="75000"/>
                </a:schemeClr>
              </a:solidFill>
            </a:rPr>
            <a:t> PRODUCTIVITY</a:t>
          </a:r>
          <a:endParaRPr lang="en-IN" sz="1400" b="1">
            <a:solidFill>
              <a:schemeClr val="accent6">
                <a:lumMod val="75000"/>
              </a:schemeClr>
            </a:solidFill>
          </a:endParaRPr>
        </a:p>
      </xdr:txBody>
    </xdr:sp>
    <xdr:clientData/>
  </xdr:twoCellAnchor>
  <xdr:oneCellAnchor>
    <xdr:from>
      <xdr:col>16</xdr:col>
      <xdr:colOff>293642</xdr:colOff>
      <xdr:row>6</xdr:row>
      <xdr:rowOff>544</xdr:rowOff>
    </xdr:from>
    <xdr:ext cx="2125980" cy="311496"/>
    <xdr:sp macro="" textlink="">
      <xdr:nvSpPr>
        <xdr:cNvPr id="35" name="TextBox 34">
          <a:extLst>
            <a:ext uri="{FF2B5EF4-FFF2-40B4-BE49-F238E27FC236}">
              <a16:creationId xmlns:a16="http://schemas.microsoft.com/office/drawing/2014/main" id="{ADC2EBEF-020D-E6B8-2A58-12D9F5EBE0DD}"/>
            </a:ext>
          </a:extLst>
        </xdr:cNvPr>
        <xdr:cNvSpPr txBox="1"/>
      </xdr:nvSpPr>
      <xdr:spPr>
        <a:xfrm>
          <a:off x="10047242" y="1110887"/>
          <a:ext cx="212598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rgbClr val="FFC000"/>
              </a:solidFill>
            </a:rPr>
            <a:t>TOTAL</a:t>
          </a:r>
          <a:r>
            <a:rPr lang="en-IN" sz="1400">
              <a:solidFill>
                <a:srgbClr val="FFC000"/>
              </a:solidFill>
            </a:rPr>
            <a:t> </a:t>
          </a:r>
          <a:r>
            <a:rPr lang="en-IN" sz="1400" b="1">
              <a:solidFill>
                <a:srgbClr val="FFC000"/>
              </a:solidFill>
            </a:rPr>
            <a:t>COMPLETED</a:t>
          </a:r>
          <a:r>
            <a:rPr lang="en-IN" sz="1400" b="1" baseline="0">
              <a:solidFill>
                <a:srgbClr val="FFC000"/>
              </a:solidFill>
            </a:rPr>
            <a:t> TASK</a:t>
          </a:r>
          <a:endParaRPr lang="en-IN" sz="1400" b="1">
            <a:solidFill>
              <a:srgbClr val="FFC000"/>
            </a:solidFill>
          </a:endParaRPr>
        </a:p>
      </xdr:txBody>
    </xdr:sp>
    <xdr:clientData/>
  </xdr:oneCellAnchor>
  <xdr:twoCellAnchor>
    <xdr:from>
      <xdr:col>5</xdr:col>
      <xdr:colOff>100148</xdr:colOff>
      <xdr:row>7</xdr:row>
      <xdr:rowOff>127363</xdr:rowOff>
    </xdr:from>
    <xdr:to>
      <xdr:col>6</xdr:col>
      <xdr:colOff>252548</xdr:colOff>
      <xdr:row>9</xdr:row>
      <xdr:rowOff>160020</xdr:rowOff>
    </xdr:to>
    <xdr:sp macro="" textlink="'Pivot Table'!B24">
      <xdr:nvSpPr>
        <xdr:cNvPr id="37" name="TextBox 36">
          <a:extLst>
            <a:ext uri="{FF2B5EF4-FFF2-40B4-BE49-F238E27FC236}">
              <a16:creationId xmlns:a16="http://schemas.microsoft.com/office/drawing/2014/main" id="{36D33DB9-7BE8-E1C1-A109-EF927A211B29}"/>
            </a:ext>
          </a:extLst>
        </xdr:cNvPr>
        <xdr:cNvSpPr txBox="1"/>
      </xdr:nvSpPr>
      <xdr:spPr>
        <a:xfrm>
          <a:off x="3148148" y="1422763"/>
          <a:ext cx="762000" cy="4027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C8999F7-E279-44FC-929A-DC926D2B2B3A}" type="TxLink">
            <a:rPr lang="en-US" sz="4000" b="1" i="0" u="none" strike="noStrike">
              <a:solidFill>
                <a:schemeClr val="tx2">
                  <a:lumMod val="75000"/>
                  <a:lumOff val="25000"/>
                </a:schemeClr>
              </a:solidFill>
              <a:latin typeface="Aptos Narrow"/>
            </a:rPr>
            <a:t>89</a:t>
          </a:fld>
          <a:endParaRPr lang="en-IN" sz="4000" b="1">
            <a:solidFill>
              <a:schemeClr val="tx2">
                <a:lumMod val="75000"/>
                <a:lumOff val="25000"/>
              </a:schemeClr>
            </a:solidFill>
          </a:endParaRPr>
        </a:p>
      </xdr:txBody>
    </xdr:sp>
    <xdr:clientData/>
  </xdr:twoCellAnchor>
  <xdr:twoCellAnchor>
    <xdr:from>
      <xdr:col>12</xdr:col>
      <xdr:colOff>572044</xdr:colOff>
      <xdr:row>8</xdr:row>
      <xdr:rowOff>4899</xdr:rowOff>
    </xdr:from>
    <xdr:to>
      <xdr:col>15</xdr:col>
      <xdr:colOff>198664</xdr:colOff>
      <xdr:row>10</xdr:row>
      <xdr:rowOff>35379</xdr:rowOff>
    </xdr:to>
    <xdr:sp macro="" textlink="'Pivot Table'!B26">
      <xdr:nvSpPr>
        <xdr:cNvPr id="40" name="TextBox 39">
          <a:extLst>
            <a:ext uri="{FF2B5EF4-FFF2-40B4-BE49-F238E27FC236}">
              <a16:creationId xmlns:a16="http://schemas.microsoft.com/office/drawing/2014/main" id="{AFBEFE43-5BF8-A923-12BE-B5E6F207236A}"/>
            </a:ext>
          </a:extLst>
        </xdr:cNvPr>
        <xdr:cNvSpPr txBox="1"/>
      </xdr:nvSpPr>
      <xdr:spPr>
        <a:xfrm>
          <a:off x="7887244" y="1485356"/>
          <a:ext cx="1455420" cy="4005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932D2EB-EC8D-4542-BA10-C0B47AAA6632}" type="TxLink">
            <a:rPr lang="en-US" sz="3600" b="1" i="0" u="none" strike="noStrike">
              <a:solidFill>
                <a:schemeClr val="accent5">
                  <a:lumMod val="75000"/>
                </a:schemeClr>
              </a:solidFill>
              <a:latin typeface="Aptos Narrow"/>
            </a:rPr>
            <a:t>90.6%</a:t>
          </a:fld>
          <a:endParaRPr lang="en-IN" sz="9600" b="1">
            <a:solidFill>
              <a:schemeClr val="accent5">
                <a:lumMod val="75000"/>
              </a:schemeClr>
            </a:solidFill>
          </a:endParaRPr>
        </a:p>
      </xdr:txBody>
    </xdr:sp>
    <xdr:clientData/>
  </xdr:twoCellAnchor>
  <xdr:twoCellAnchor>
    <xdr:from>
      <xdr:col>17</xdr:col>
      <xdr:colOff>188323</xdr:colOff>
      <xdr:row>7</xdr:row>
      <xdr:rowOff>174716</xdr:rowOff>
    </xdr:from>
    <xdr:to>
      <xdr:col>19</xdr:col>
      <xdr:colOff>325483</xdr:colOff>
      <xdr:row>10</xdr:row>
      <xdr:rowOff>24221</xdr:rowOff>
    </xdr:to>
    <xdr:sp macro="" textlink="'Pivot Table'!B27">
      <xdr:nvSpPr>
        <xdr:cNvPr id="41" name="TextBox 40">
          <a:extLst>
            <a:ext uri="{FF2B5EF4-FFF2-40B4-BE49-F238E27FC236}">
              <a16:creationId xmlns:a16="http://schemas.microsoft.com/office/drawing/2014/main" id="{F19F1C08-52D6-8AD1-F467-5D02C17BC502}"/>
            </a:ext>
          </a:extLst>
        </xdr:cNvPr>
        <xdr:cNvSpPr txBox="1"/>
      </xdr:nvSpPr>
      <xdr:spPr>
        <a:xfrm>
          <a:off x="10551523" y="1470116"/>
          <a:ext cx="1356360" cy="4046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FF8CC59-5B00-4EAC-943C-88B04C7254E6}" type="TxLink">
            <a:rPr lang="en-US" sz="4000" b="1" i="0" u="none" strike="noStrike">
              <a:solidFill>
                <a:srgbClr val="FFC000"/>
              </a:solidFill>
              <a:latin typeface="Aptos Narrow"/>
            </a:rPr>
            <a:t>1177</a:t>
          </a:fld>
          <a:endParaRPr lang="en-IN" sz="11500" b="1">
            <a:solidFill>
              <a:srgbClr val="FFC000"/>
            </a:solidFill>
          </a:endParaRPr>
        </a:p>
      </xdr:txBody>
    </xdr:sp>
    <xdr:clientData/>
  </xdr:twoCellAnchor>
  <xdr:twoCellAnchor>
    <xdr:from>
      <xdr:col>8</xdr:col>
      <xdr:colOff>484414</xdr:colOff>
      <xdr:row>7</xdr:row>
      <xdr:rowOff>156754</xdr:rowOff>
    </xdr:from>
    <xdr:to>
      <xdr:col>11</xdr:col>
      <xdr:colOff>217714</xdr:colOff>
      <xdr:row>10</xdr:row>
      <xdr:rowOff>4354</xdr:rowOff>
    </xdr:to>
    <xdr:sp macro="" textlink="'Pivot Table'!B25">
      <xdr:nvSpPr>
        <xdr:cNvPr id="42" name="TextBox 41">
          <a:extLst>
            <a:ext uri="{FF2B5EF4-FFF2-40B4-BE49-F238E27FC236}">
              <a16:creationId xmlns:a16="http://schemas.microsoft.com/office/drawing/2014/main" id="{45F29D0B-2C22-B0A1-DC3C-6D03478EC886}"/>
            </a:ext>
          </a:extLst>
        </xdr:cNvPr>
        <xdr:cNvSpPr txBox="1"/>
      </xdr:nvSpPr>
      <xdr:spPr>
        <a:xfrm>
          <a:off x="5361214" y="1452154"/>
          <a:ext cx="1562100" cy="4027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E3D3AC7-B5C1-426D-ADE2-296BEC1B7045}" type="TxLink">
            <a:rPr lang="en-US" sz="3600" b="1" i="0" u="none" strike="noStrike">
              <a:solidFill>
                <a:schemeClr val="accent6">
                  <a:lumMod val="75000"/>
                </a:schemeClr>
              </a:solidFill>
              <a:latin typeface="Aptos Narrow"/>
            </a:rPr>
            <a:t>91.9%</a:t>
          </a:fld>
          <a:endParaRPr lang="en-IN" sz="9600" b="1">
            <a:solidFill>
              <a:schemeClr val="accent6">
                <a:lumMod val="75000"/>
              </a:schemeClr>
            </a:solidFill>
          </a:endParaRPr>
        </a:p>
      </xdr:txBody>
    </xdr:sp>
    <xdr:clientData/>
  </xdr:twoCellAnchor>
  <xdr:twoCellAnchor>
    <xdr:from>
      <xdr:col>21</xdr:col>
      <xdr:colOff>96611</xdr:colOff>
      <xdr:row>7</xdr:row>
      <xdr:rowOff>137704</xdr:rowOff>
    </xdr:from>
    <xdr:to>
      <xdr:col>23</xdr:col>
      <xdr:colOff>355691</xdr:colOff>
      <xdr:row>9</xdr:row>
      <xdr:rowOff>168184</xdr:rowOff>
    </xdr:to>
    <xdr:sp macro="" textlink="'Pivot Table'!B28">
      <xdr:nvSpPr>
        <xdr:cNvPr id="43" name="TextBox 42">
          <a:extLst>
            <a:ext uri="{FF2B5EF4-FFF2-40B4-BE49-F238E27FC236}">
              <a16:creationId xmlns:a16="http://schemas.microsoft.com/office/drawing/2014/main" id="{650723E9-2504-0558-3627-145F9617457E}"/>
            </a:ext>
          </a:extLst>
        </xdr:cNvPr>
        <xdr:cNvSpPr txBox="1"/>
      </xdr:nvSpPr>
      <xdr:spPr>
        <a:xfrm>
          <a:off x="12898211" y="1433104"/>
          <a:ext cx="1478280" cy="4005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F58D71D-03E4-4F37-8F40-D44E7A771BFC}" type="TxLink">
            <a:rPr lang="en-US" sz="4000" b="1" i="0" u="none" strike="noStrike">
              <a:solidFill>
                <a:schemeClr val="accent1">
                  <a:lumMod val="60000"/>
                  <a:lumOff val="40000"/>
                </a:schemeClr>
              </a:solidFill>
              <a:latin typeface="Aptos Narrow"/>
            </a:rPr>
            <a:t>88.8%</a:t>
          </a:fld>
          <a:endParaRPr lang="en-IN" sz="11500" b="1">
            <a:solidFill>
              <a:schemeClr val="accent1">
                <a:lumMod val="60000"/>
                <a:lumOff val="40000"/>
              </a:schemeClr>
            </a:solidFill>
          </a:endParaRPr>
        </a:p>
      </xdr:txBody>
    </xdr:sp>
    <xdr:clientData/>
  </xdr:twoCellAnchor>
  <xdr:twoCellAnchor>
    <xdr:from>
      <xdr:col>3</xdr:col>
      <xdr:colOff>268877</xdr:colOff>
      <xdr:row>11</xdr:row>
      <xdr:rowOff>56606</xdr:rowOff>
    </xdr:from>
    <xdr:to>
      <xdr:col>10</xdr:col>
      <xdr:colOff>489857</xdr:colOff>
      <xdr:row>26</xdr:row>
      <xdr:rowOff>56606</xdr:rowOff>
    </xdr:to>
    <xdr:graphicFrame macro="">
      <xdr:nvGraphicFramePr>
        <xdr:cNvPr id="44" name="Chart 43">
          <a:extLst>
            <a:ext uri="{FF2B5EF4-FFF2-40B4-BE49-F238E27FC236}">
              <a16:creationId xmlns:a16="http://schemas.microsoft.com/office/drawing/2014/main" id="{51A6CD03-CD21-4713-BD04-E09B4D408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64225</xdr:colOff>
      <xdr:row>11</xdr:row>
      <xdr:rowOff>95794</xdr:rowOff>
    </xdr:from>
    <xdr:to>
      <xdr:col>16</xdr:col>
      <xdr:colOff>376645</xdr:colOff>
      <xdr:row>26</xdr:row>
      <xdr:rowOff>95794</xdr:rowOff>
    </xdr:to>
    <xdr:graphicFrame macro="">
      <xdr:nvGraphicFramePr>
        <xdr:cNvPr id="46" name="Chart 45">
          <a:extLst>
            <a:ext uri="{FF2B5EF4-FFF2-40B4-BE49-F238E27FC236}">
              <a16:creationId xmlns:a16="http://schemas.microsoft.com/office/drawing/2014/main" id="{2A577F8B-EB34-4B96-8D76-6FCE0D91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581297</xdr:colOff>
      <xdr:row>11</xdr:row>
      <xdr:rowOff>100149</xdr:rowOff>
    </xdr:from>
    <xdr:to>
      <xdr:col>23</xdr:col>
      <xdr:colOff>474617</xdr:colOff>
      <xdr:row>26</xdr:row>
      <xdr:rowOff>100149</xdr:rowOff>
    </xdr:to>
    <xdr:graphicFrame macro="">
      <xdr:nvGraphicFramePr>
        <xdr:cNvPr id="47" name="Chart 46">
          <a:extLst>
            <a:ext uri="{FF2B5EF4-FFF2-40B4-BE49-F238E27FC236}">
              <a16:creationId xmlns:a16="http://schemas.microsoft.com/office/drawing/2014/main" id="{0C8DEB1A-05B2-4052-BCD4-302D18873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243840</xdr:colOff>
      <xdr:row>27</xdr:row>
      <xdr:rowOff>20682</xdr:rowOff>
    </xdr:from>
    <xdr:to>
      <xdr:col>10</xdr:col>
      <xdr:colOff>411480</xdr:colOff>
      <xdr:row>40</xdr:row>
      <xdr:rowOff>28302</xdr:rowOff>
    </xdr:to>
    <mc:AlternateContent xmlns:mc="http://schemas.openxmlformats.org/markup-compatibility/2006">
      <mc:Choice xmlns:cx4="http://schemas.microsoft.com/office/drawing/2016/5/10/chartex" Requires="cx4">
        <xdr:graphicFrame macro="">
          <xdr:nvGraphicFramePr>
            <xdr:cNvPr id="50" name="Chart 49">
              <a:extLst>
                <a:ext uri="{FF2B5EF4-FFF2-40B4-BE49-F238E27FC236}">
                  <a16:creationId xmlns:a16="http://schemas.microsoft.com/office/drawing/2014/main" id="{07BE8CB4-EB65-4165-9D04-EAA23C72E5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2072640" y="5017225"/>
              <a:ext cx="4434840" cy="24133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575855</xdr:colOff>
      <xdr:row>27</xdr:row>
      <xdr:rowOff>38100</xdr:rowOff>
    </xdr:from>
    <xdr:to>
      <xdr:col>17</xdr:col>
      <xdr:colOff>415835</xdr:colOff>
      <xdr:row>40</xdr:row>
      <xdr:rowOff>53340</xdr:rowOff>
    </xdr:to>
    <xdr:graphicFrame macro="">
      <xdr:nvGraphicFramePr>
        <xdr:cNvPr id="51" name="Chart 50">
          <a:extLst>
            <a:ext uri="{FF2B5EF4-FFF2-40B4-BE49-F238E27FC236}">
              <a16:creationId xmlns:a16="http://schemas.microsoft.com/office/drawing/2014/main" id="{B5363B56-86F1-475C-B419-23544451B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xdr:col>
      <xdr:colOff>562791</xdr:colOff>
      <xdr:row>27</xdr:row>
      <xdr:rowOff>46808</xdr:rowOff>
    </xdr:from>
    <xdr:to>
      <xdr:col>23</xdr:col>
      <xdr:colOff>486591</xdr:colOff>
      <xdr:row>40</xdr:row>
      <xdr:rowOff>39188</xdr:rowOff>
    </xdr:to>
    <xdr:graphicFrame macro="">
      <xdr:nvGraphicFramePr>
        <xdr:cNvPr id="52" name="Chart 51">
          <a:extLst>
            <a:ext uri="{FF2B5EF4-FFF2-40B4-BE49-F238E27FC236}">
              <a16:creationId xmlns:a16="http://schemas.microsoft.com/office/drawing/2014/main" id="{DCE74745-9239-4F66-A158-A45524021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0</xdr:col>
      <xdr:colOff>209279</xdr:colOff>
      <xdr:row>6</xdr:row>
      <xdr:rowOff>17145</xdr:rowOff>
    </xdr:from>
    <xdr:to>
      <xdr:col>2</xdr:col>
      <xdr:colOff>602879</xdr:colOff>
      <xdr:row>14</xdr:row>
      <xdr:rowOff>163286</xdr:rowOff>
    </xdr:to>
    <mc:AlternateContent xmlns:mc="http://schemas.openxmlformats.org/markup-compatibility/2006">
      <mc:Choice xmlns:a14="http://schemas.microsoft.com/office/drawing/2010/main" Requires="a14">
        <xdr:graphicFrame macro="">
          <xdr:nvGraphicFramePr>
            <xdr:cNvPr id="53" name="Region">
              <a:extLst>
                <a:ext uri="{FF2B5EF4-FFF2-40B4-BE49-F238E27FC236}">
                  <a16:creationId xmlns:a16="http://schemas.microsoft.com/office/drawing/2014/main" id="{A0A15A6B-EADC-4447-91BC-73A9D8938E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9279" y="1127488"/>
              <a:ext cx="1612800" cy="16265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217714</xdr:colOff>
      <xdr:row>16</xdr:row>
      <xdr:rowOff>6803</xdr:rowOff>
    </xdr:from>
    <xdr:to>
      <xdr:col>3</xdr:col>
      <xdr:colOff>1714</xdr:colOff>
      <xdr:row>23</xdr:row>
      <xdr:rowOff>21772</xdr:rowOff>
    </xdr:to>
    <mc:AlternateContent xmlns:mc="http://schemas.openxmlformats.org/markup-compatibility/2006">
      <mc:Choice xmlns:a14="http://schemas.microsoft.com/office/drawing/2010/main" Requires="a14">
        <xdr:graphicFrame macro="">
          <xdr:nvGraphicFramePr>
            <xdr:cNvPr id="54" name="Performance Status">
              <a:extLst>
                <a:ext uri="{FF2B5EF4-FFF2-40B4-BE49-F238E27FC236}">
                  <a16:creationId xmlns:a16="http://schemas.microsoft.com/office/drawing/2014/main" id="{CE372660-EFCB-4B3E-9A19-2F68CD17A9F2}"/>
                </a:ext>
              </a:extLst>
            </xdr:cNvPr>
            <xdr:cNvGraphicFramePr/>
          </xdr:nvGraphicFramePr>
          <xdr:xfrm>
            <a:off x="0" y="0"/>
            <a:ext cx="0" cy="0"/>
          </xdr:xfrm>
          <a:graphic>
            <a:graphicData uri="http://schemas.microsoft.com/office/drawing/2010/slicer">
              <sle:slicer xmlns:sle="http://schemas.microsoft.com/office/drawing/2010/slicer" name="Performance Status"/>
            </a:graphicData>
          </a:graphic>
        </xdr:graphicFrame>
      </mc:Choice>
      <mc:Fallback>
        <xdr:sp macro="" textlink="">
          <xdr:nvSpPr>
            <xdr:cNvPr id="0" name=""/>
            <xdr:cNvSpPr>
              <a:spLocks noTextEdit="1"/>
            </xdr:cNvSpPr>
          </xdr:nvSpPr>
          <xdr:spPr>
            <a:xfrm>
              <a:off x="217714" y="2967717"/>
              <a:ext cx="1612800" cy="1310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24</xdr:row>
      <xdr:rowOff>103687</xdr:rowOff>
    </xdr:from>
    <xdr:to>
      <xdr:col>3</xdr:col>
      <xdr:colOff>10885</xdr:colOff>
      <xdr:row>36</xdr:row>
      <xdr:rowOff>54429</xdr:rowOff>
    </xdr:to>
    <mc:AlternateContent xmlns:mc="http://schemas.openxmlformats.org/markup-compatibility/2006">
      <mc:Choice xmlns:a14="http://schemas.microsoft.com/office/drawing/2010/main" Requires="a14">
        <xdr:graphicFrame macro="">
          <xdr:nvGraphicFramePr>
            <xdr:cNvPr id="55" name="Department">
              <a:extLst>
                <a:ext uri="{FF2B5EF4-FFF2-40B4-BE49-F238E27FC236}">
                  <a16:creationId xmlns:a16="http://schemas.microsoft.com/office/drawing/2014/main" id="{925573A4-BB27-40F8-8FAF-931E955492C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28600" y="4545058"/>
              <a:ext cx="1611085" cy="2171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424543</xdr:colOff>
      <xdr:row>0</xdr:row>
      <xdr:rowOff>141514</xdr:rowOff>
    </xdr:from>
    <xdr:to>
      <xdr:col>18</xdr:col>
      <xdr:colOff>563743</xdr:colOff>
      <xdr:row>4</xdr:row>
      <xdr:rowOff>150085</xdr:rowOff>
    </xdr:to>
    <xdr:pic macro="[0]!Graphic56_Click">
      <xdr:nvPicPr>
        <xdr:cNvPr id="57" name="Graphic 56" descr="Arrow circle with solid fill">
          <a:extLst>
            <a:ext uri="{FF2B5EF4-FFF2-40B4-BE49-F238E27FC236}">
              <a16:creationId xmlns:a16="http://schemas.microsoft.com/office/drawing/2014/main" id="{23EAB379-C725-806C-C4D3-08C202291E55}"/>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0787743" y="141514"/>
          <a:ext cx="748800" cy="74880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0.21646</cdr:x>
      <cdr:y>0.11465</cdr:y>
    </cdr:from>
    <cdr:to>
      <cdr:x>0.72809</cdr:x>
      <cdr:y>0.25796</cdr:y>
    </cdr:to>
    <cdr:sp macro="" textlink="">
      <cdr:nvSpPr>
        <cdr:cNvPr id="2" name="TextBox 1">
          <a:extLst xmlns:a="http://schemas.openxmlformats.org/drawingml/2006/main">
            <a:ext uri="{FF2B5EF4-FFF2-40B4-BE49-F238E27FC236}">
              <a16:creationId xmlns:a16="http://schemas.microsoft.com/office/drawing/2014/main" id="{BCAC5C2B-1372-F35A-0AA6-42285D25D187}"/>
            </a:ext>
          </a:extLst>
        </cdr:cNvPr>
        <cdr:cNvSpPr txBox="1"/>
      </cdr:nvSpPr>
      <cdr:spPr>
        <a:xfrm xmlns:a="http://schemas.openxmlformats.org/drawingml/2006/main">
          <a:off x="922020" y="274320"/>
          <a:ext cx="2179320"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0.20394</cdr:x>
      <cdr:y>0.10191</cdr:y>
    </cdr:from>
    <cdr:to>
      <cdr:x>0.66369</cdr:x>
      <cdr:y>0.22293</cdr:y>
    </cdr:to>
    <cdr:sp macro="" textlink="">
      <cdr:nvSpPr>
        <cdr:cNvPr id="3" name="TextBox 2">
          <a:extLst xmlns:a="http://schemas.openxmlformats.org/drawingml/2006/main">
            <a:ext uri="{FF2B5EF4-FFF2-40B4-BE49-F238E27FC236}">
              <a16:creationId xmlns:a16="http://schemas.microsoft.com/office/drawing/2014/main" id="{A3841E4E-0AEA-6062-92F3-BAD5FC0FF5F3}"/>
            </a:ext>
          </a:extLst>
        </cdr:cNvPr>
        <cdr:cNvSpPr txBox="1"/>
      </cdr:nvSpPr>
      <cdr:spPr>
        <a:xfrm xmlns:a="http://schemas.openxmlformats.org/drawingml/2006/main">
          <a:off x="868680" y="243840"/>
          <a:ext cx="1958340" cy="289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0.21288</cdr:x>
      <cdr:y>0.09873</cdr:y>
    </cdr:from>
    <cdr:to>
      <cdr:x>0.69767</cdr:x>
      <cdr:y>0.23567</cdr:y>
    </cdr:to>
    <cdr:sp macro="" textlink="">
      <cdr:nvSpPr>
        <cdr:cNvPr id="4" name="TextBox 3">
          <a:extLst xmlns:a="http://schemas.openxmlformats.org/drawingml/2006/main">
            <a:ext uri="{FF2B5EF4-FFF2-40B4-BE49-F238E27FC236}">
              <a16:creationId xmlns:a16="http://schemas.microsoft.com/office/drawing/2014/main" id="{CAAFB5F8-1220-EE16-F243-CCC81D5B9AD1}"/>
            </a:ext>
          </a:extLst>
        </cdr:cNvPr>
        <cdr:cNvSpPr txBox="1"/>
      </cdr:nvSpPr>
      <cdr:spPr>
        <a:xfrm xmlns:a="http://schemas.openxmlformats.org/drawingml/2006/main">
          <a:off x="906780" y="236220"/>
          <a:ext cx="2065020" cy="3276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0.18426</cdr:x>
      <cdr:y>0.03503</cdr:y>
    </cdr:from>
    <cdr:to>
      <cdr:x>0.81216</cdr:x>
      <cdr:y>0.15287</cdr:y>
    </cdr:to>
    <cdr:sp macro="" textlink="">
      <cdr:nvSpPr>
        <cdr:cNvPr id="5" name="TextBox 4">
          <a:extLst xmlns:a="http://schemas.openxmlformats.org/drawingml/2006/main">
            <a:ext uri="{FF2B5EF4-FFF2-40B4-BE49-F238E27FC236}">
              <a16:creationId xmlns:a16="http://schemas.microsoft.com/office/drawing/2014/main" id="{DAFE7063-EF46-BAF1-886E-A8CBFF44E483}"/>
            </a:ext>
          </a:extLst>
        </cdr:cNvPr>
        <cdr:cNvSpPr txBox="1"/>
      </cdr:nvSpPr>
      <cdr:spPr>
        <a:xfrm xmlns:a="http://schemas.openxmlformats.org/drawingml/2006/main">
          <a:off x="784860" y="83820"/>
          <a:ext cx="2674620" cy="2819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0.23077</cdr:x>
      <cdr:y>0.02866</cdr:y>
    </cdr:from>
    <cdr:to>
      <cdr:x>0.86583</cdr:x>
      <cdr:y>0.13694</cdr:y>
    </cdr:to>
    <cdr:sp macro="" textlink="">
      <cdr:nvSpPr>
        <cdr:cNvPr id="6" name="TextBox 5">
          <a:extLst xmlns:a="http://schemas.openxmlformats.org/drawingml/2006/main">
            <a:ext uri="{FF2B5EF4-FFF2-40B4-BE49-F238E27FC236}">
              <a16:creationId xmlns:a16="http://schemas.microsoft.com/office/drawing/2014/main" id="{5AF778DD-077F-D6DA-39B3-E1E08D7F8E0F}"/>
            </a:ext>
          </a:extLst>
        </cdr:cNvPr>
        <cdr:cNvSpPr txBox="1"/>
      </cdr:nvSpPr>
      <cdr:spPr>
        <a:xfrm xmlns:a="http://schemas.openxmlformats.org/drawingml/2006/main">
          <a:off x="982980" y="68580"/>
          <a:ext cx="2705100" cy="2590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kern="1200"/>
            <a:t>TASK COMPLETION BY MONTH</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i Shukla" refreshedDate="46300.934875115738" createdVersion="8" refreshedVersion="8" minRefreshableVersion="3" recordCount="89" xr:uid="{06CA405B-59B9-4347-BF75-A11D0004B8E7}">
  <cacheSource type="worksheet">
    <worksheetSource name="Table1"/>
  </cacheSource>
  <cacheFields count="18">
    <cacheField name="Date" numFmtId="15">
      <sharedItems containsSemiMixedTypes="0" containsNonDate="0" containsDate="1" containsString="0" minDate="2026-01-01T00:00:00" maxDate="2026-07-19T00:00:00"/>
    </cacheField>
    <cacheField name="Month" numFmtId="0">
      <sharedItems count="7">
        <s v="Jan"/>
        <s v="Feb"/>
        <s v="Mar"/>
        <s v="Apr"/>
        <s v="May"/>
        <s v="Jun"/>
        <s v="Jul"/>
      </sharedItems>
    </cacheField>
    <cacheField name="Emp ID" numFmtId="0">
      <sharedItems/>
    </cacheField>
    <cacheField name="Employee Name" numFmtId="0">
      <sharedItems count="20">
        <s v="James Smith"/>
        <s v="Mary Johnson"/>
        <s v="Robert Williams"/>
        <s v="Jennifer Brown"/>
        <s v="Michael Jones"/>
        <s v="Linda Garcia"/>
        <s v="David Miller"/>
        <s v="Sarah Davis"/>
        <s v="John Rodriguez"/>
        <s v="Emily Martinez"/>
        <s v="Jessica Lopez"/>
        <s v="Christopher Wilson"/>
        <s v="Amanda Anderson"/>
        <s v="Matthew Taylor"/>
        <s v="Ashley Thomas"/>
        <s v="Andrew Moore"/>
        <s v="Olivia Jackson"/>
        <s v="Sophia Lee"/>
        <s v="Daniel Hernandez"/>
        <s v="Joshua Martin"/>
      </sharedItems>
    </cacheField>
    <cacheField name="Department" numFmtId="0">
      <sharedItems count="6">
        <s v="Sales"/>
        <s v="Marketing"/>
        <s v="Finance"/>
        <s v="HR"/>
        <s v="Operations"/>
        <s v="IT"/>
      </sharedItems>
    </cacheField>
    <cacheField name="Region" numFmtId="0">
      <sharedItems count="4">
        <s v="California"/>
        <s v="Texas"/>
        <s v="Florida"/>
        <s v="New York"/>
      </sharedItems>
    </cacheField>
    <cacheField name="Working Days" numFmtId="0">
      <sharedItems containsSemiMixedTypes="0" containsString="0" containsNumber="1" containsInteger="1" minValue="20" maxValue="22"/>
    </cacheField>
    <cacheField name="Attendance Status" numFmtId="0">
      <sharedItems count="3">
        <s v="Present"/>
        <s v="Leave"/>
        <s v="Work From Home"/>
      </sharedItems>
    </cacheField>
    <cacheField name="Target Tasks" numFmtId="0">
      <sharedItems containsSemiMixedTypes="0" containsString="0" containsNumber="1" containsInteger="1" minValue="8" maxValue="20"/>
    </cacheField>
    <cacheField name="Completed Tasks" numFmtId="0">
      <sharedItems containsSemiMixedTypes="0" containsString="0" containsNumber="1" containsInteger="1" minValue="5" maxValue="23"/>
    </cacheField>
    <cacheField name="Pending Tasks" numFmtId="0">
      <sharedItems containsSemiMixedTypes="0" containsString="0" containsNumber="1" containsInteger="1" minValue="0" maxValue="70"/>
    </cacheField>
    <cacheField name="Target Hours" numFmtId="0">
      <sharedItems containsSemiMixedTypes="0" containsString="0" containsNumber="1" containsInteger="1" minValue="7" maxValue="9"/>
    </cacheField>
    <cacheField name="Actual Hours" numFmtId="0">
      <sharedItems containsSemiMixedTypes="0" containsString="0" containsNumber="1" minValue="5.0999999999999996" maxValue="11"/>
    </cacheField>
    <cacheField name="Overtime Hours" numFmtId="0">
      <sharedItems containsSemiMixedTypes="0" containsString="0" containsNumber="1" minValue="0" maxValue="2"/>
    </cacheField>
    <cacheField name="Productivity %" numFmtId="10">
      <sharedItems containsSemiMixedTypes="0" containsString="0" containsNumber="1" minValue="0.57399999999999995" maxValue="1"/>
    </cacheField>
    <cacheField name="Quality Score %" numFmtId="10">
      <sharedItems containsSemiMixedTypes="0" containsString="0" containsNumber="1" minValue="0.55400000000000005" maxValue="1"/>
    </cacheField>
    <cacheField name="Achievement %" numFmtId="10">
      <sharedItems containsSemiMixedTypes="0" containsString="0" containsNumber="1" minValue="0.60099999999999998" maxValue="1"/>
    </cacheField>
    <cacheField name="Performance Status" numFmtId="0">
      <sharedItems count="3">
        <s v="High Performer"/>
        <s v="On Track"/>
        <s v="Needs Improvement"/>
      </sharedItems>
    </cacheField>
  </cacheFields>
  <extLst>
    <ext xmlns:x14="http://schemas.microsoft.com/office/spreadsheetml/2009/9/main" uri="{725AE2AE-9491-48be-B2B4-4EB974FC3084}">
      <x14:pivotCacheDefinition pivotCacheId="305783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d v="2026-01-01T00:00:00"/>
    <x v="0"/>
    <s v="EMP001"/>
    <x v="0"/>
    <x v="0"/>
    <x v="0"/>
    <n v="22"/>
    <x v="0"/>
    <n v="8"/>
    <n v="10"/>
    <n v="0"/>
    <n v="8"/>
    <n v="8.5"/>
    <n v="0.5"/>
    <n v="1"/>
    <n v="0.91100000000000003"/>
    <n v="0.96399999999999997"/>
    <x v="0"/>
  </r>
  <r>
    <d v="2026-01-03T00:00:00"/>
    <x v="0"/>
    <s v="EMP002"/>
    <x v="1"/>
    <x v="0"/>
    <x v="1"/>
    <n v="20"/>
    <x v="1"/>
    <n v="19"/>
    <n v="20"/>
    <n v="0"/>
    <n v="7"/>
    <n v="6.8"/>
    <n v="0"/>
    <n v="1"/>
    <n v="0.88700000000000001"/>
    <n v="0.95499999999999996"/>
    <x v="0"/>
  </r>
  <r>
    <d v="2026-01-05T00:00:00"/>
    <x v="0"/>
    <s v="EMP003"/>
    <x v="2"/>
    <x v="1"/>
    <x v="2"/>
    <n v="20"/>
    <x v="0"/>
    <n v="11"/>
    <n v="12"/>
    <n v="0"/>
    <n v="9"/>
    <n v="9.6999999999999993"/>
    <n v="0.7"/>
    <n v="1"/>
    <n v="0.92400000000000004"/>
    <n v="0.97"/>
    <x v="0"/>
  </r>
  <r>
    <d v="2026-01-07T00:00:00"/>
    <x v="0"/>
    <s v="EMP004"/>
    <x v="3"/>
    <x v="1"/>
    <x v="0"/>
    <n v="22"/>
    <x v="1"/>
    <n v="16"/>
    <n v="16"/>
    <n v="0"/>
    <n v="7"/>
    <n v="8.6999999999999993"/>
    <n v="1.7"/>
    <n v="0.99199999999999999"/>
    <n v="0.93300000000000005"/>
    <n v="0.96799999999999997"/>
    <x v="0"/>
  </r>
  <r>
    <d v="2026-01-09T00:00:00"/>
    <x v="0"/>
    <s v="EMP005"/>
    <x v="4"/>
    <x v="2"/>
    <x v="3"/>
    <n v="20"/>
    <x v="0"/>
    <n v="19"/>
    <n v="19"/>
    <n v="0"/>
    <n v="8"/>
    <n v="7.7"/>
    <n v="0"/>
    <n v="0.96399999999999997"/>
    <n v="0.89100000000000001"/>
    <n v="0.93500000000000005"/>
    <x v="0"/>
  </r>
  <r>
    <d v="2026-01-11T00:00:00"/>
    <x v="0"/>
    <s v="EMP006"/>
    <x v="5"/>
    <x v="2"/>
    <x v="1"/>
    <n v="21"/>
    <x v="0"/>
    <n v="9"/>
    <n v="9"/>
    <n v="10"/>
    <n v="7"/>
    <n v="6.7"/>
    <n v="0"/>
    <n v="0.97699999999999998"/>
    <n v="0.93300000000000005"/>
    <n v="0.95899999999999996"/>
    <x v="0"/>
  </r>
  <r>
    <d v="2026-01-13T00:00:00"/>
    <x v="0"/>
    <s v="EMP007"/>
    <x v="6"/>
    <x v="3"/>
    <x v="2"/>
    <n v="21"/>
    <x v="0"/>
    <n v="19"/>
    <n v="19"/>
    <n v="0"/>
    <n v="9"/>
    <n v="10.7"/>
    <n v="1.7"/>
    <n v="0.94"/>
    <n v="1"/>
    <n v="0.96399999999999997"/>
    <x v="0"/>
  </r>
  <r>
    <d v="2026-01-15T00:00:00"/>
    <x v="0"/>
    <s v="EMP008"/>
    <x v="7"/>
    <x v="3"/>
    <x v="0"/>
    <n v="20"/>
    <x v="2"/>
    <n v="12"/>
    <n v="15"/>
    <n v="0"/>
    <n v="9"/>
    <n v="9.8000000000000007"/>
    <n v="0.8"/>
    <n v="1"/>
    <n v="1"/>
    <n v="1"/>
    <x v="0"/>
  </r>
  <r>
    <d v="2026-01-17T00:00:00"/>
    <x v="0"/>
    <s v="EMP009"/>
    <x v="8"/>
    <x v="4"/>
    <x v="3"/>
    <n v="22"/>
    <x v="0"/>
    <n v="19"/>
    <n v="16"/>
    <n v="30"/>
    <n v="7"/>
    <n v="6.5"/>
    <n v="0"/>
    <n v="0.86799999999999999"/>
    <n v="0.91800000000000004"/>
    <n v="0.88800000000000001"/>
    <x v="1"/>
  </r>
  <r>
    <d v="2026-01-19T00:00:00"/>
    <x v="0"/>
    <s v="EMP010"/>
    <x v="9"/>
    <x v="4"/>
    <x v="2"/>
    <n v="20"/>
    <x v="0"/>
    <n v="9"/>
    <n v="9"/>
    <n v="40"/>
    <n v="8"/>
    <n v="8.6"/>
    <n v="0.6"/>
    <n v="0.99299999999999999"/>
    <n v="1"/>
    <n v="0.996"/>
    <x v="0"/>
  </r>
  <r>
    <d v="2026-01-23T00:00:00"/>
    <x v="0"/>
    <s v="EMP012"/>
    <x v="10"/>
    <x v="5"/>
    <x v="0"/>
    <n v="22"/>
    <x v="0"/>
    <n v="17"/>
    <n v="19"/>
    <n v="0"/>
    <n v="7"/>
    <n v="6.5"/>
    <n v="0"/>
    <n v="1"/>
    <n v="0.93400000000000005"/>
    <n v="0.97399999999999998"/>
    <x v="0"/>
  </r>
  <r>
    <d v="2026-01-25T00:00:00"/>
    <x v="0"/>
    <s v="EMP013"/>
    <x v="11"/>
    <x v="0"/>
    <x v="3"/>
    <n v="21"/>
    <x v="0"/>
    <n v="12"/>
    <n v="14"/>
    <n v="50"/>
    <n v="9"/>
    <n v="9.3000000000000007"/>
    <n v="0.3"/>
    <n v="1"/>
    <n v="1"/>
    <n v="1"/>
    <x v="0"/>
  </r>
  <r>
    <d v="2026-01-27T00:00:00"/>
    <x v="0"/>
    <s v="EMP014"/>
    <x v="12"/>
    <x v="1"/>
    <x v="1"/>
    <n v="20"/>
    <x v="0"/>
    <n v="8"/>
    <n v="11"/>
    <n v="0"/>
    <n v="8"/>
    <n v="5.9"/>
    <n v="0"/>
    <n v="1"/>
    <n v="0.89500000000000002"/>
    <n v="0.95799999999999996"/>
    <x v="0"/>
  </r>
  <r>
    <d v="2026-01-29T00:00:00"/>
    <x v="0"/>
    <s v="EMP015"/>
    <x v="13"/>
    <x v="2"/>
    <x v="2"/>
    <n v="22"/>
    <x v="1"/>
    <n v="13"/>
    <n v="11"/>
    <n v="2"/>
    <n v="9"/>
    <n v="7.1"/>
    <n v="0"/>
    <n v="0.84599999999999997"/>
    <n v="0.92100000000000004"/>
    <n v="0.876"/>
    <x v="1"/>
  </r>
  <r>
    <d v="2026-01-31T00:00:00"/>
    <x v="0"/>
    <s v="EMP016"/>
    <x v="14"/>
    <x v="3"/>
    <x v="3"/>
    <n v="22"/>
    <x v="0"/>
    <n v="10"/>
    <n v="9"/>
    <n v="1"/>
    <n v="7"/>
    <n v="6.4"/>
    <n v="0"/>
    <n v="0.85899999999999999"/>
    <n v="0.86299999999999999"/>
    <n v="0.86099999999999999"/>
    <x v="1"/>
  </r>
  <r>
    <d v="2026-02-02T00:00:00"/>
    <x v="1"/>
    <s v="EMP017"/>
    <x v="15"/>
    <x v="4"/>
    <x v="0"/>
    <n v="21"/>
    <x v="1"/>
    <n v="17"/>
    <n v="17"/>
    <n v="0"/>
    <n v="9"/>
    <n v="7.9"/>
    <n v="0"/>
    <n v="0.98399999999999999"/>
    <n v="0.91200000000000003"/>
    <n v="0.95499999999999996"/>
    <x v="0"/>
  </r>
  <r>
    <d v="2026-02-04T00:00:00"/>
    <x v="1"/>
    <s v="EMP018"/>
    <x v="16"/>
    <x v="5"/>
    <x v="2"/>
    <n v="20"/>
    <x v="2"/>
    <n v="15"/>
    <n v="12"/>
    <n v="3"/>
    <n v="7"/>
    <n v="7.3"/>
    <n v="0.3"/>
    <n v="0.85799999999999998"/>
    <n v="0.77200000000000002"/>
    <n v="0.82399999999999995"/>
    <x v="1"/>
  </r>
  <r>
    <d v="2026-02-08T00:00:00"/>
    <x v="1"/>
    <s v="EMP020"/>
    <x v="17"/>
    <x v="1"/>
    <x v="3"/>
    <n v="21"/>
    <x v="2"/>
    <n v="12"/>
    <n v="13"/>
    <n v="70"/>
    <n v="7"/>
    <n v="5.4"/>
    <n v="0"/>
    <n v="1"/>
    <n v="0.90500000000000003"/>
    <n v="0.96199999999999997"/>
    <x v="0"/>
  </r>
  <r>
    <d v="2026-02-10T00:00:00"/>
    <x v="1"/>
    <s v="EMP001"/>
    <x v="0"/>
    <x v="0"/>
    <x v="0"/>
    <n v="22"/>
    <x v="0"/>
    <n v="20"/>
    <n v="22"/>
    <n v="0"/>
    <n v="8"/>
    <n v="9.6"/>
    <n v="1.6"/>
    <n v="1"/>
    <n v="0.97599999999999998"/>
    <n v="0.99"/>
    <x v="0"/>
  </r>
  <r>
    <d v="2026-02-12T00:00:00"/>
    <x v="1"/>
    <s v="EMP002"/>
    <x v="1"/>
    <x v="0"/>
    <x v="1"/>
    <n v="21"/>
    <x v="0"/>
    <n v="19"/>
    <n v="21"/>
    <n v="0"/>
    <n v="8"/>
    <n v="7.8"/>
    <n v="0"/>
    <n v="1"/>
    <n v="1"/>
    <n v="1"/>
    <x v="0"/>
  </r>
  <r>
    <d v="2026-02-14T00:00:00"/>
    <x v="1"/>
    <s v="EMP003"/>
    <x v="2"/>
    <x v="1"/>
    <x v="2"/>
    <n v="22"/>
    <x v="0"/>
    <n v="18"/>
    <n v="17"/>
    <n v="1"/>
    <n v="9"/>
    <n v="9.1"/>
    <n v="0.1"/>
    <n v="0.94599999999999995"/>
    <n v="0.87"/>
    <n v="0.91600000000000004"/>
    <x v="0"/>
  </r>
  <r>
    <d v="2026-02-16T00:00:00"/>
    <x v="1"/>
    <s v="EMP004"/>
    <x v="3"/>
    <x v="1"/>
    <x v="0"/>
    <n v="21"/>
    <x v="0"/>
    <n v="16"/>
    <n v="19"/>
    <n v="0"/>
    <n v="9"/>
    <n v="7.4"/>
    <n v="0"/>
    <n v="1"/>
    <n v="1"/>
    <n v="1"/>
    <x v="0"/>
  </r>
  <r>
    <d v="2026-02-18T00:00:00"/>
    <x v="1"/>
    <s v="EMP005"/>
    <x v="4"/>
    <x v="2"/>
    <x v="3"/>
    <n v="21"/>
    <x v="0"/>
    <n v="9"/>
    <n v="8"/>
    <n v="1"/>
    <n v="8"/>
    <n v="7.4"/>
    <n v="0"/>
    <n v="0.84699999999999998"/>
    <n v="0.78"/>
    <n v="0.82"/>
    <x v="1"/>
  </r>
  <r>
    <d v="2026-02-20T00:00:00"/>
    <x v="1"/>
    <s v="EMP006"/>
    <x v="5"/>
    <x v="2"/>
    <x v="1"/>
    <n v="22"/>
    <x v="0"/>
    <n v="9"/>
    <n v="11"/>
    <n v="0"/>
    <n v="8"/>
    <n v="8.1"/>
    <n v="0.1"/>
    <n v="1"/>
    <n v="1"/>
    <n v="1"/>
    <x v="0"/>
  </r>
  <r>
    <d v="2026-02-22T00:00:00"/>
    <x v="1"/>
    <s v="EMP007"/>
    <x v="6"/>
    <x v="3"/>
    <x v="2"/>
    <n v="22"/>
    <x v="0"/>
    <n v="10"/>
    <n v="12"/>
    <n v="0"/>
    <n v="8"/>
    <n v="6.7"/>
    <n v="0"/>
    <n v="1"/>
    <n v="0.91600000000000004"/>
    <n v="0.96599999999999997"/>
    <x v="0"/>
  </r>
  <r>
    <d v="2026-02-24T00:00:00"/>
    <x v="1"/>
    <s v="EMP008"/>
    <x v="7"/>
    <x v="3"/>
    <x v="0"/>
    <n v="22"/>
    <x v="2"/>
    <n v="14"/>
    <n v="12"/>
    <n v="2"/>
    <n v="9"/>
    <n v="9.4"/>
    <n v="0.4"/>
    <n v="0.89800000000000002"/>
    <n v="0.93"/>
    <n v="0.91100000000000003"/>
    <x v="0"/>
  </r>
  <r>
    <d v="2026-02-28T00:00:00"/>
    <x v="1"/>
    <s v="EMP010"/>
    <x v="9"/>
    <x v="4"/>
    <x v="2"/>
    <n v="21"/>
    <x v="0"/>
    <n v="11"/>
    <n v="9"/>
    <n v="2"/>
    <n v="7"/>
    <n v="6.7"/>
    <n v="0"/>
    <n v="0.79200000000000004"/>
    <n v="0.80100000000000005"/>
    <n v="0.79600000000000004"/>
    <x v="1"/>
  </r>
  <r>
    <d v="2026-03-02T00:00:00"/>
    <x v="2"/>
    <s v="EMP011"/>
    <x v="18"/>
    <x v="5"/>
    <x v="1"/>
    <n v="20"/>
    <x v="2"/>
    <n v="11"/>
    <n v="8"/>
    <n v="3"/>
    <n v="7"/>
    <n v="6.3"/>
    <n v="0"/>
    <n v="0.76100000000000001"/>
    <n v="0.65400000000000003"/>
    <n v="0.71799999999999997"/>
    <x v="2"/>
  </r>
  <r>
    <d v="2026-03-04T00:00:00"/>
    <x v="2"/>
    <s v="EMP012"/>
    <x v="10"/>
    <x v="5"/>
    <x v="0"/>
    <n v="20"/>
    <x v="0"/>
    <n v="13"/>
    <n v="10"/>
    <n v="3"/>
    <n v="9"/>
    <n v="11"/>
    <n v="2"/>
    <n v="0.72699999999999998"/>
    <n v="0.754"/>
    <n v="0.73799999999999999"/>
    <x v="2"/>
  </r>
  <r>
    <d v="2026-03-06T00:00:00"/>
    <x v="2"/>
    <s v="EMP013"/>
    <x v="11"/>
    <x v="0"/>
    <x v="3"/>
    <n v="20"/>
    <x v="2"/>
    <n v="10"/>
    <n v="12"/>
    <n v="0"/>
    <n v="9"/>
    <n v="9"/>
    <n v="0"/>
    <n v="1"/>
    <n v="0.93300000000000005"/>
    <n v="0.97299999999999998"/>
    <x v="0"/>
  </r>
  <r>
    <d v="2026-03-08T00:00:00"/>
    <x v="2"/>
    <s v="EMP014"/>
    <x v="12"/>
    <x v="1"/>
    <x v="1"/>
    <n v="21"/>
    <x v="0"/>
    <n v="11"/>
    <n v="8"/>
    <n v="50"/>
    <n v="7"/>
    <n v="5.8"/>
    <n v="0"/>
    <n v="0.753"/>
    <n v="0.71099999999999997"/>
    <n v="0.73599999999999999"/>
    <x v="2"/>
  </r>
  <r>
    <d v="2026-03-10T00:00:00"/>
    <x v="2"/>
    <s v="EMP015"/>
    <x v="13"/>
    <x v="2"/>
    <x v="2"/>
    <n v="21"/>
    <x v="0"/>
    <n v="19"/>
    <n v="16"/>
    <n v="3"/>
    <n v="9"/>
    <n v="9.9"/>
    <n v="0.9"/>
    <n v="0.86699999999999999"/>
    <n v="0.88900000000000001"/>
    <n v="0.876"/>
    <x v="1"/>
  </r>
  <r>
    <d v="2026-03-12T00:00:00"/>
    <x v="2"/>
    <s v="EMP016"/>
    <x v="14"/>
    <x v="3"/>
    <x v="3"/>
    <n v="20"/>
    <x v="0"/>
    <n v="19"/>
    <n v="18"/>
    <n v="1"/>
    <n v="7"/>
    <n v="5.7"/>
    <n v="0"/>
    <n v="0.90700000000000003"/>
    <n v="0.82899999999999996"/>
    <n v="0.876"/>
    <x v="1"/>
  </r>
  <r>
    <d v="2026-03-14T00:00:00"/>
    <x v="2"/>
    <s v="EMP017"/>
    <x v="15"/>
    <x v="4"/>
    <x v="0"/>
    <n v="21"/>
    <x v="0"/>
    <n v="14"/>
    <n v="12"/>
    <n v="2"/>
    <n v="8"/>
    <n v="8.1999999999999993"/>
    <n v="0.2"/>
    <n v="0.85099999999999998"/>
    <n v="0.92300000000000004"/>
    <n v="0.88"/>
    <x v="1"/>
  </r>
  <r>
    <d v="2026-03-16T00:00:00"/>
    <x v="2"/>
    <s v="EMP018"/>
    <x v="16"/>
    <x v="5"/>
    <x v="2"/>
    <n v="20"/>
    <x v="0"/>
    <n v="20"/>
    <n v="23"/>
    <n v="0"/>
    <n v="9"/>
    <n v="6.8"/>
    <n v="0"/>
    <n v="1"/>
    <n v="1"/>
    <n v="1"/>
    <x v="0"/>
  </r>
  <r>
    <d v="2026-03-20T00:00:00"/>
    <x v="2"/>
    <s v="EMP020"/>
    <x v="17"/>
    <x v="1"/>
    <x v="3"/>
    <n v="20"/>
    <x v="0"/>
    <n v="8"/>
    <n v="6"/>
    <n v="2"/>
    <n v="8"/>
    <n v="8.1999999999999993"/>
    <n v="0.2"/>
    <n v="0.67"/>
    <n v="0.63600000000000001"/>
    <n v="0.65600000000000003"/>
    <x v="2"/>
  </r>
  <r>
    <d v="2026-03-22T00:00:00"/>
    <x v="2"/>
    <s v="EMP001"/>
    <x v="0"/>
    <x v="0"/>
    <x v="0"/>
    <n v="21"/>
    <x v="0"/>
    <n v="14"/>
    <n v="16"/>
    <n v="0"/>
    <n v="9"/>
    <n v="9.8000000000000007"/>
    <n v="0.8"/>
    <n v="1"/>
    <n v="1"/>
    <n v="1"/>
    <x v="0"/>
  </r>
  <r>
    <d v="2026-03-24T00:00:00"/>
    <x v="2"/>
    <s v="EMP002"/>
    <x v="1"/>
    <x v="0"/>
    <x v="1"/>
    <n v="22"/>
    <x v="0"/>
    <n v="10"/>
    <n v="8"/>
    <n v="2"/>
    <n v="8"/>
    <n v="8.1999999999999993"/>
    <n v="0.2"/>
    <n v="0.755"/>
    <n v="0.64800000000000002"/>
    <n v="0.71199999999999997"/>
    <x v="2"/>
  </r>
  <r>
    <d v="2026-03-26T00:00:00"/>
    <x v="2"/>
    <s v="EMP003"/>
    <x v="2"/>
    <x v="1"/>
    <x v="2"/>
    <n v="22"/>
    <x v="2"/>
    <n v="8"/>
    <n v="10"/>
    <n v="0"/>
    <n v="8"/>
    <n v="7.9"/>
    <n v="0"/>
    <n v="1"/>
    <n v="1"/>
    <n v="1"/>
    <x v="0"/>
  </r>
  <r>
    <d v="2026-03-28T00:00:00"/>
    <x v="2"/>
    <s v="EMP004"/>
    <x v="3"/>
    <x v="1"/>
    <x v="0"/>
    <n v="22"/>
    <x v="2"/>
    <n v="10"/>
    <n v="7"/>
    <n v="3"/>
    <n v="9"/>
    <n v="8.6999999999999993"/>
    <n v="0"/>
    <n v="0.63300000000000001"/>
    <n v="0.55400000000000005"/>
    <n v="0.60099999999999998"/>
    <x v="2"/>
  </r>
  <r>
    <d v="2026-03-30T00:00:00"/>
    <x v="2"/>
    <s v="EMP005"/>
    <x v="4"/>
    <x v="2"/>
    <x v="3"/>
    <n v="22"/>
    <x v="0"/>
    <n v="18"/>
    <n v="21"/>
    <n v="0"/>
    <n v="7"/>
    <n v="5.4"/>
    <n v="0"/>
    <n v="1"/>
    <n v="1"/>
    <n v="1"/>
    <x v="0"/>
  </r>
  <r>
    <d v="2026-04-01T00:00:00"/>
    <x v="3"/>
    <s v="EMP006"/>
    <x v="5"/>
    <x v="2"/>
    <x v="1"/>
    <n v="22"/>
    <x v="0"/>
    <n v="17"/>
    <n v="18"/>
    <n v="0"/>
    <n v="7"/>
    <n v="6.2"/>
    <n v="0"/>
    <n v="1"/>
    <n v="0.97199999999999998"/>
    <n v="0.98899999999999999"/>
    <x v="0"/>
  </r>
  <r>
    <d v="2026-04-05T00:00:00"/>
    <x v="3"/>
    <s v="EMP008"/>
    <x v="7"/>
    <x v="3"/>
    <x v="0"/>
    <n v="20"/>
    <x v="0"/>
    <n v="14"/>
    <n v="12"/>
    <n v="2"/>
    <n v="9"/>
    <n v="10.199999999999999"/>
    <n v="1.2"/>
    <n v="0.88"/>
    <n v="0.86099999999999999"/>
    <n v="0.872"/>
    <x v="1"/>
  </r>
  <r>
    <d v="2026-04-07T00:00:00"/>
    <x v="3"/>
    <s v="EMP009"/>
    <x v="8"/>
    <x v="4"/>
    <x v="3"/>
    <n v="20"/>
    <x v="0"/>
    <n v="15"/>
    <n v="16"/>
    <n v="0"/>
    <n v="9"/>
    <n v="9.4"/>
    <n v="0.4"/>
    <n v="1"/>
    <n v="0.89600000000000002"/>
    <n v="0.95799999999999996"/>
    <x v="0"/>
  </r>
  <r>
    <d v="2026-04-09T00:00:00"/>
    <x v="3"/>
    <s v="EMP010"/>
    <x v="9"/>
    <x v="4"/>
    <x v="2"/>
    <n v="20"/>
    <x v="2"/>
    <n v="12"/>
    <n v="10"/>
    <n v="2"/>
    <n v="8"/>
    <n v="6.1"/>
    <n v="0"/>
    <n v="0.89400000000000002"/>
    <n v="0.96699999999999997"/>
    <n v="0.92300000000000004"/>
    <x v="0"/>
  </r>
  <r>
    <d v="2026-04-11T00:00:00"/>
    <x v="3"/>
    <s v="EMP011"/>
    <x v="18"/>
    <x v="5"/>
    <x v="1"/>
    <n v="21"/>
    <x v="0"/>
    <n v="10"/>
    <n v="10"/>
    <n v="0"/>
    <n v="9"/>
    <n v="9.4"/>
    <n v="0.4"/>
    <n v="1"/>
    <n v="1"/>
    <n v="1"/>
    <x v="0"/>
  </r>
  <r>
    <d v="2026-04-13T00:00:00"/>
    <x v="3"/>
    <s v="EMP012"/>
    <x v="10"/>
    <x v="5"/>
    <x v="0"/>
    <n v="22"/>
    <x v="2"/>
    <n v="8"/>
    <n v="10"/>
    <n v="0"/>
    <n v="9"/>
    <n v="8.6"/>
    <n v="0"/>
    <n v="1"/>
    <n v="1"/>
    <n v="1"/>
    <x v="0"/>
  </r>
  <r>
    <d v="2026-04-15T00:00:00"/>
    <x v="3"/>
    <s v="EMP013"/>
    <x v="11"/>
    <x v="0"/>
    <x v="3"/>
    <n v="20"/>
    <x v="0"/>
    <n v="9"/>
    <n v="6"/>
    <n v="70"/>
    <n v="9"/>
    <n v="8.3000000000000007"/>
    <n v="0"/>
    <n v="0.67500000000000004"/>
    <n v="0.61499999999999999"/>
    <n v="0.65100000000000002"/>
    <x v="2"/>
  </r>
  <r>
    <d v="2026-04-19T00:00:00"/>
    <x v="3"/>
    <s v="EMP015"/>
    <x v="13"/>
    <x v="2"/>
    <x v="2"/>
    <n v="22"/>
    <x v="0"/>
    <n v="12"/>
    <n v="15"/>
    <n v="0"/>
    <n v="7"/>
    <n v="8.1"/>
    <n v="1.1000000000000001"/>
    <n v="1"/>
    <n v="0.97299999999999998"/>
    <n v="0.98899999999999999"/>
    <x v="0"/>
  </r>
  <r>
    <d v="2026-04-21T00:00:00"/>
    <x v="3"/>
    <s v="EMP016"/>
    <x v="14"/>
    <x v="3"/>
    <x v="3"/>
    <n v="21"/>
    <x v="0"/>
    <n v="8"/>
    <n v="7"/>
    <n v="1"/>
    <n v="7"/>
    <n v="8"/>
    <n v="1"/>
    <n v="0.89700000000000002"/>
    <n v="0.83499999999999996"/>
    <n v="0.872"/>
    <x v="1"/>
  </r>
  <r>
    <d v="2026-04-23T00:00:00"/>
    <x v="3"/>
    <s v="EMP017"/>
    <x v="15"/>
    <x v="4"/>
    <x v="0"/>
    <n v="22"/>
    <x v="0"/>
    <n v="16"/>
    <n v="18"/>
    <n v="0"/>
    <n v="8"/>
    <n v="7.1"/>
    <n v="0"/>
    <n v="1"/>
    <n v="0.90500000000000003"/>
    <n v="0.96199999999999997"/>
    <x v="0"/>
  </r>
  <r>
    <d v="2026-04-25T00:00:00"/>
    <x v="3"/>
    <s v="EMP018"/>
    <x v="16"/>
    <x v="5"/>
    <x v="2"/>
    <n v="22"/>
    <x v="0"/>
    <n v="16"/>
    <n v="13"/>
    <n v="3"/>
    <n v="8"/>
    <n v="7.7"/>
    <n v="0"/>
    <n v="0.82599999999999996"/>
    <n v="0.73899999999999999"/>
    <n v="0.79100000000000004"/>
    <x v="1"/>
  </r>
  <r>
    <d v="2026-04-27T00:00:00"/>
    <x v="3"/>
    <s v="EMP019"/>
    <x v="19"/>
    <x v="0"/>
    <x v="1"/>
    <n v="20"/>
    <x v="0"/>
    <n v="12"/>
    <n v="11"/>
    <n v="1"/>
    <n v="7"/>
    <n v="7.4"/>
    <n v="0.4"/>
    <n v="0.98"/>
    <n v="0.90600000000000003"/>
    <n v="0.95"/>
    <x v="0"/>
  </r>
  <r>
    <d v="2026-04-29T00:00:00"/>
    <x v="3"/>
    <s v="EMP020"/>
    <x v="17"/>
    <x v="1"/>
    <x v="3"/>
    <n v="20"/>
    <x v="1"/>
    <n v="9"/>
    <n v="8"/>
    <n v="1"/>
    <n v="9"/>
    <n v="10.1"/>
    <n v="1.1000000000000001"/>
    <n v="0.95"/>
    <n v="0.91900000000000004"/>
    <n v="0.93799999999999994"/>
    <x v="0"/>
  </r>
  <r>
    <d v="2026-05-01T00:00:00"/>
    <x v="4"/>
    <s v="EMP001"/>
    <x v="0"/>
    <x v="0"/>
    <x v="0"/>
    <n v="22"/>
    <x v="1"/>
    <n v="10"/>
    <n v="8"/>
    <n v="2"/>
    <n v="7"/>
    <n v="6.5"/>
    <n v="0"/>
    <n v="0.876"/>
    <n v="0.93400000000000005"/>
    <n v="0.89900000000000002"/>
    <x v="1"/>
  </r>
  <r>
    <d v="2026-05-03T00:00:00"/>
    <x v="4"/>
    <s v="EMP002"/>
    <x v="1"/>
    <x v="0"/>
    <x v="1"/>
    <n v="21"/>
    <x v="0"/>
    <n v="10"/>
    <n v="12"/>
    <n v="0"/>
    <n v="8"/>
    <n v="7.8"/>
    <n v="0"/>
    <n v="1"/>
    <n v="0.97099999999999997"/>
    <n v="0.98799999999999999"/>
    <x v="0"/>
  </r>
  <r>
    <d v="2026-05-07T00:00:00"/>
    <x v="4"/>
    <s v="EMP004"/>
    <x v="3"/>
    <x v="1"/>
    <x v="0"/>
    <n v="21"/>
    <x v="0"/>
    <n v="15"/>
    <n v="13"/>
    <n v="2"/>
    <n v="7"/>
    <n v="5.7"/>
    <n v="0"/>
    <n v="0.91700000000000004"/>
    <n v="0.89800000000000002"/>
    <n v="0.90900000000000003"/>
    <x v="0"/>
  </r>
  <r>
    <d v="2026-05-09T00:00:00"/>
    <x v="4"/>
    <s v="EMP005"/>
    <x v="4"/>
    <x v="2"/>
    <x v="3"/>
    <n v="21"/>
    <x v="0"/>
    <n v="11"/>
    <n v="8"/>
    <n v="3"/>
    <n v="9"/>
    <n v="9.9"/>
    <n v="0.9"/>
    <n v="0.67800000000000005"/>
    <n v="0.63"/>
    <n v="0.65900000000000003"/>
    <x v="2"/>
  </r>
  <r>
    <d v="2026-05-11T00:00:00"/>
    <x v="4"/>
    <s v="EMP006"/>
    <x v="5"/>
    <x v="2"/>
    <x v="1"/>
    <n v="20"/>
    <x v="0"/>
    <n v="13"/>
    <n v="15"/>
    <n v="0"/>
    <n v="9"/>
    <n v="10.5"/>
    <n v="1.5"/>
    <n v="1"/>
    <n v="1"/>
    <n v="1"/>
    <x v="0"/>
  </r>
  <r>
    <d v="2026-05-13T00:00:00"/>
    <x v="4"/>
    <s v="EMP007"/>
    <x v="6"/>
    <x v="3"/>
    <x v="2"/>
    <n v="22"/>
    <x v="0"/>
    <n v="8"/>
    <n v="5"/>
    <n v="50"/>
    <n v="8"/>
    <n v="7.9"/>
    <n v="0"/>
    <n v="0.57399999999999995"/>
    <n v="0.66600000000000004"/>
    <n v="0.61099999999999999"/>
    <x v="2"/>
  </r>
  <r>
    <d v="2026-05-15T00:00:00"/>
    <x v="4"/>
    <s v="EMP008"/>
    <x v="7"/>
    <x v="3"/>
    <x v="0"/>
    <n v="21"/>
    <x v="0"/>
    <n v="9"/>
    <n v="10"/>
    <n v="0"/>
    <n v="8"/>
    <n v="9.1"/>
    <n v="1.1000000000000001"/>
    <n v="1"/>
    <n v="1"/>
    <n v="1"/>
    <x v="0"/>
  </r>
  <r>
    <d v="2026-05-17T00:00:00"/>
    <x v="4"/>
    <s v="EMP009"/>
    <x v="8"/>
    <x v="4"/>
    <x v="3"/>
    <n v="21"/>
    <x v="2"/>
    <n v="16"/>
    <n v="13"/>
    <n v="3"/>
    <n v="8"/>
    <n v="8.4"/>
    <n v="0.4"/>
    <n v="0.876"/>
    <n v="0.79800000000000004"/>
    <n v="0.84499999999999997"/>
    <x v="1"/>
  </r>
  <r>
    <d v="2026-05-21T00:00:00"/>
    <x v="4"/>
    <s v="EMP011"/>
    <x v="18"/>
    <x v="5"/>
    <x v="1"/>
    <n v="22"/>
    <x v="1"/>
    <n v="19"/>
    <n v="21"/>
    <n v="0"/>
    <n v="7"/>
    <n v="7.4"/>
    <n v="0.4"/>
    <n v="1"/>
    <n v="0.89500000000000002"/>
    <n v="0.95799999999999996"/>
    <x v="0"/>
  </r>
  <r>
    <d v="2026-05-23T00:00:00"/>
    <x v="4"/>
    <s v="EMP012"/>
    <x v="10"/>
    <x v="5"/>
    <x v="0"/>
    <n v="22"/>
    <x v="0"/>
    <n v="17"/>
    <n v="16"/>
    <n v="1"/>
    <n v="9"/>
    <n v="10.7"/>
    <n v="1.7"/>
    <n v="0.997"/>
    <n v="1"/>
    <n v="0.998"/>
    <x v="0"/>
  </r>
  <r>
    <d v="2026-05-25T00:00:00"/>
    <x v="4"/>
    <s v="EMP013"/>
    <x v="11"/>
    <x v="0"/>
    <x v="3"/>
    <n v="21"/>
    <x v="2"/>
    <n v="12"/>
    <n v="14"/>
    <n v="0"/>
    <n v="8"/>
    <n v="8"/>
    <n v="0"/>
    <n v="1"/>
    <n v="1"/>
    <n v="1"/>
    <x v="0"/>
  </r>
  <r>
    <d v="2026-05-27T00:00:00"/>
    <x v="4"/>
    <s v="EMP014"/>
    <x v="12"/>
    <x v="1"/>
    <x v="1"/>
    <n v="22"/>
    <x v="0"/>
    <n v="11"/>
    <n v="11"/>
    <n v="0"/>
    <n v="9"/>
    <n v="10.7"/>
    <n v="1.7"/>
    <n v="1"/>
    <n v="1"/>
    <n v="1"/>
    <x v="0"/>
  </r>
  <r>
    <d v="2026-05-29T00:00:00"/>
    <x v="4"/>
    <s v="EMP015"/>
    <x v="13"/>
    <x v="2"/>
    <x v="2"/>
    <n v="20"/>
    <x v="2"/>
    <n v="17"/>
    <n v="16"/>
    <n v="1"/>
    <n v="8"/>
    <n v="5.0999999999999996"/>
    <n v="0"/>
    <n v="0.94899999999999995"/>
    <n v="0.82899999999999996"/>
    <n v="0.90100000000000002"/>
    <x v="0"/>
  </r>
  <r>
    <d v="2026-05-31T00:00:00"/>
    <x v="4"/>
    <s v="EMP016"/>
    <x v="14"/>
    <x v="3"/>
    <x v="3"/>
    <n v="21"/>
    <x v="0"/>
    <n v="14"/>
    <n v="17"/>
    <n v="0"/>
    <n v="9"/>
    <n v="9.9"/>
    <n v="0.9"/>
    <n v="1"/>
    <n v="0.95099999999999996"/>
    <n v="0.98"/>
    <x v="0"/>
  </r>
  <r>
    <d v="2026-06-02T00:00:00"/>
    <x v="5"/>
    <s v="EMP017"/>
    <x v="15"/>
    <x v="4"/>
    <x v="0"/>
    <n v="21"/>
    <x v="0"/>
    <n v="18"/>
    <n v="16"/>
    <n v="2"/>
    <n v="9"/>
    <n v="9.1"/>
    <n v="0.1"/>
    <n v="0.88500000000000001"/>
    <n v="0.96299999999999997"/>
    <n v="0.91600000000000004"/>
    <x v="0"/>
  </r>
  <r>
    <d v="2026-06-06T00:00:00"/>
    <x v="5"/>
    <s v="EMP019"/>
    <x v="19"/>
    <x v="0"/>
    <x v="1"/>
    <n v="21"/>
    <x v="0"/>
    <n v="20"/>
    <n v="18"/>
    <n v="2"/>
    <n v="9"/>
    <n v="9.1"/>
    <n v="0.1"/>
    <n v="0.87"/>
    <n v="0.92700000000000005"/>
    <n v="0.89300000000000002"/>
    <x v="1"/>
  </r>
  <r>
    <d v="2026-06-08T00:00:00"/>
    <x v="5"/>
    <s v="EMP020"/>
    <x v="17"/>
    <x v="1"/>
    <x v="3"/>
    <n v="20"/>
    <x v="0"/>
    <n v="8"/>
    <n v="6"/>
    <n v="2"/>
    <n v="8"/>
    <n v="5.8"/>
    <n v="0"/>
    <n v="0.76800000000000002"/>
    <n v="0.81699999999999995"/>
    <n v="0.78800000000000003"/>
    <x v="1"/>
  </r>
  <r>
    <d v="2026-06-10T00:00:00"/>
    <x v="5"/>
    <s v="EMP001"/>
    <x v="0"/>
    <x v="0"/>
    <x v="0"/>
    <n v="21"/>
    <x v="0"/>
    <n v="18"/>
    <n v="19"/>
    <n v="50"/>
    <n v="7"/>
    <n v="6.8"/>
    <n v="0"/>
    <n v="1"/>
    <n v="0.96399999999999997"/>
    <n v="0.98599999999999999"/>
    <x v="0"/>
  </r>
  <r>
    <d v="2026-06-12T00:00:00"/>
    <x v="5"/>
    <s v="EMP002"/>
    <x v="1"/>
    <x v="0"/>
    <x v="1"/>
    <n v="21"/>
    <x v="0"/>
    <n v="10"/>
    <n v="12"/>
    <n v="0"/>
    <n v="9"/>
    <n v="9.4"/>
    <n v="0.4"/>
    <n v="1"/>
    <n v="1"/>
    <n v="1"/>
    <x v="0"/>
  </r>
  <r>
    <d v="2026-06-14T00:00:00"/>
    <x v="5"/>
    <s v="EMP003"/>
    <x v="2"/>
    <x v="1"/>
    <x v="2"/>
    <n v="20"/>
    <x v="0"/>
    <n v="11"/>
    <n v="9"/>
    <n v="2"/>
    <n v="9"/>
    <n v="10.6"/>
    <n v="1.6"/>
    <n v="0.82099999999999995"/>
    <n v="0.71199999999999997"/>
    <n v="0.77700000000000002"/>
    <x v="1"/>
  </r>
  <r>
    <d v="2026-06-16T00:00:00"/>
    <x v="5"/>
    <s v="EMP004"/>
    <x v="3"/>
    <x v="1"/>
    <x v="0"/>
    <n v="20"/>
    <x v="0"/>
    <n v="15"/>
    <n v="13"/>
    <n v="2"/>
    <n v="8"/>
    <n v="7.4"/>
    <n v="0"/>
    <n v="0.89300000000000002"/>
    <n v="0.99"/>
    <n v="0.93200000000000005"/>
    <x v="0"/>
  </r>
  <r>
    <d v="2026-06-20T00:00:00"/>
    <x v="5"/>
    <s v="EMP006"/>
    <x v="5"/>
    <x v="2"/>
    <x v="1"/>
    <n v="21"/>
    <x v="2"/>
    <n v="15"/>
    <n v="13"/>
    <n v="2"/>
    <n v="9"/>
    <n v="8.4"/>
    <n v="0"/>
    <n v="0.92500000000000004"/>
    <n v="0.90400000000000003"/>
    <n v="0.91700000000000004"/>
    <x v="0"/>
  </r>
  <r>
    <d v="2026-06-22T00:00:00"/>
    <x v="5"/>
    <s v="EMP007"/>
    <x v="6"/>
    <x v="3"/>
    <x v="2"/>
    <n v="20"/>
    <x v="1"/>
    <n v="12"/>
    <n v="15"/>
    <n v="0"/>
    <n v="9"/>
    <n v="10"/>
    <n v="1"/>
    <n v="1"/>
    <n v="0.93300000000000005"/>
    <n v="0.97299999999999998"/>
    <x v="0"/>
  </r>
  <r>
    <d v="2026-06-24T00:00:00"/>
    <x v="5"/>
    <s v="EMP008"/>
    <x v="7"/>
    <x v="3"/>
    <x v="0"/>
    <n v="21"/>
    <x v="0"/>
    <n v="19"/>
    <n v="18"/>
    <n v="1"/>
    <n v="7"/>
    <n v="7.4"/>
    <n v="0.4"/>
    <n v="0.91100000000000003"/>
    <n v="0.86099999999999999"/>
    <n v="0.89100000000000001"/>
    <x v="1"/>
  </r>
  <r>
    <d v="2026-06-26T00:00:00"/>
    <x v="5"/>
    <s v="EMP009"/>
    <x v="8"/>
    <x v="4"/>
    <x v="3"/>
    <n v="22"/>
    <x v="0"/>
    <n v="10"/>
    <n v="8"/>
    <n v="2"/>
    <n v="7"/>
    <n v="6.4"/>
    <n v="0"/>
    <n v="0.78100000000000003"/>
    <n v="0.69499999999999995"/>
    <n v="0.747"/>
    <x v="2"/>
  </r>
  <r>
    <d v="2026-06-28T00:00:00"/>
    <x v="5"/>
    <s v="EMP010"/>
    <x v="9"/>
    <x v="4"/>
    <x v="2"/>
    <n v="20"/>
    <x v="0"/>
    <n v="14"/>
    <n v="14"/>
    <n v="0"/>
    <n v="8"/>
    <n v="8.6"/>
    <n v="0.6"/>
    <n v="1"/>
    <n v="0.97099999999999997"/>
    <n v="0.98799999999999999"/>
    <x v="0"/>
  </r>
  <r>
    <d v="2026-06-30T00:00:00"/>
    <x v="5"/>
    <s v="EMP011"/>
    <x v="18"/>
    <x v="5"/>
    <x v="1"/>
    <n v="20"/>
    <x v="0"/>
    <n v="14"/>
    <n v="17"/>
    <n v="0"/>
    <n v="9"/>
    <n v="9.1"/>
    <n v="0.1"/>
    <n v="1"/>
    <n v="0.88400000000000001"/>
    <n v="0.95399999999999996"/>
    <x v="0"/>
  </r>
  <r>
    <d v="2026-07-02T00:00:00"/>
    <x v="6"/>
    <s v="EMP012"/>
    <x v="10"/>
    <x v="5"/>
    <x v="0"/>
    <n v="22"/>
    <x v="0"/>
    <n v="15"/>
    <n v="12"/>
    <n v="3"/>
    <n v="8"/>
    <n v="9.1"/>
    <n v="1.1000000000000001"/>
    <n v="0.76800000000000002"/>
    <n v="0.73399999999999999"/>
    <n v="0.754"/>
    <x v="1"/>
  </r>
  <r>
    <d v="2026-07-06T00:00:00"/>
    <x v="6"/>
    <s v="EMP014"/>
    <x v="12"/>
    <x v="1"/>
    <x v="1"/>
    <n v="21"/>
    <x v="0"/>
    <n v="12"/>
    <n v="12"/>
    <n v="0"/>
    <n v="8"/>
    <n v="7.6"/>
    <n v="0"/>
    <n v="0.92500000000000004"/>
    <n v="0.879"/>
    <n v="0.90700000000000003"/>
    <x v="0"/>
  </r>
  <r>
    <d v="2026-07-08T00:00:00"/>
    <x v="6"/>
    <s v="EMP015"/>
    <x v="13"/>
    <x v="2"/>
    <x v="2"/>
    <n v="22"/>
    <x v="0"/>
    <n v="19"/>
    <n v="17"/>
    <n v="2"/>
    <n v="8"/>
    <n v="7.6"/>
    <n v="0"/>
    <n v="0.96199999999999997"/>
    <n v="1"/>
    <n v="0.97699999999999998"/>
    <x v="0"/>
  </r>
  <r>
    <d v="2026-07-10T00:00:00"/>
    <x v="6"/>
    <s v="EMP016"/>
    <x v="14"/>
    <x v="3"/>
    <x v="3"/>
    <n v="22"/>
    <x v="0"/>
    <n v="14"/>
    <n v="15"/>
    <n v="30"/>
    <n v="9"/>
    <n v="7.4"/>
    <n v="0"/>
    <n v="1"/>
    <n v="0.89800000000000002"/>
    <n v="0.95899999999999996"/>
    <x v="0"/>
  </r>
  <r>
    <d v="2026-07-12T00:00:00"/>
    <x v="6"/>
    <s v="EMP017"/>
    <x v="15"/>
    <x v="4"/>
    <x v="0"/>
    <n v="21"/>
    <x v="0"/>
    <n v="15"/>
    <n v="13"/>
    <n v="2"/>
    <n v="7"/>
    <n v="7.3"/>
    <n v="0.3"/>
    <n v="0.82799999999999996"/>
    <n v="0.78"/>
    <n v="0.80900000000000005"/>
    <x v="1"/>
  </r>
  <r>
    <d v="2026-07-14T00:00:00"/>
    <x v="6"/>
    <s v="EMP018"/>
    <x v="16"/>
    <x v="5"/>
    <x v="2"/>
    <n v="21"/>
    <x v="0"/>
    <n v="13"/>
    <n v="16"/>
    <n v="0"/>
    <n v="8"/>
    <n v="8.3000000000000007"/>
    <n v="0.3"/>
    <n v="1"/>
    <n v="1"/>
    <n v="1"/>
    <x v="0"/>
  </r>
  <r>
    <d v="2026-07-16T00:00:00"/>
    <x v="6"/>
    <s v="EMP019"/>
    <x v="19"/>
    <x v="0"/>
    <x v="1"/>
    <n v="21"/>
    <x v="0"/>
    <n v="9"/>
    <n v="9"/>
    <n v="0"/>
    <n v="7"/>
    <n v="7"/>
    <n v="0"/>
    <n v="1"/>
    <n v="0.89100000000000001"/>
    <n v="0.95599999999999996"/>
    <x v="0"/>
  </r>
  <r>
    <d v="2026-07-18T00:00:00"/>
    <x v="6"/>
    <s v="EMP020"/>
    <x v="17"/>
    <x v="1"/>
    <x v="3"/>
    <n v="21"/>
    <x v="0"/>
    <n v="18"/>
    <n v="15"/>
    <n v="3"/>
    <n v="9"/>
    <n v="8.6999999999999993"/>
    <n v="0"/>
    <n v="0.76"/>
    <n v="0.64700000000000002"/>
    <n v="0.7149999999999999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9BB17D-BADA-4BE2-92A0-7C0CB5F88C2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D13:F21" firstHeaderRow="0" firstDataRow="1" firstDataCol="1"/>
  <pivotFields count="18">
    <pivotField numFmtId="15" showAll="0"/>
    <pivotField axis="axisRow" showAll="0">
      <items count="8">
        <item x="0"/>
        <item x="1"/>
        <item x="2"/>
        <item x="3"/>
        <item x="4"/>
        <item x="5"/>
        <item x="6"/>
        <item t="default"/>
      </items>
    </pivotField>
    <pivotField showAll="0"/>
    <pivotField showAll="0">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showAll="0"/>
    <pivotField showAll="0"/>
    <pivotField dataField="1" showAll="0"/>
    <pivotField dataField="1" showAll="0"/>
    <pivotField showAll="0"/>
    <pivotField showAll="0"/>
    <pivotField showAll="0"/>
    <pivotField numFmtId="10" showAll="0"/>
    <pivotField numFmtId="10" showAll="0"/>
    <pivotField numFmtId="10" showAll="0"/>
    <pivotField showAll="0">
      <items count="4">
        <item x="0"/>
        <item x="2"/>
        <item x="1"/>
        <item t="default"/>
      </items>
    </pivotField>
  </pivotFields>
  <rowFields count="1">
    <field x="1"/>
  </rowFields>
  <rowItems count="8">
    <i>
      <x/>
    </i>
    <i>
      <x v="1"/>
    </i>
    <i>
      <x v="2"/>
    </i>
    <i>
      <x v="3"/>
    </i>
    <i>
      <x v="4"/>
    </i>
    <i>
      <x v="5"/>
    </i>
    <i>
      <x v="6"/>
    </i>
    <i t="grand">
      <x/>
    </i>
  </rowItems>
  <colFields count="1">
    <field x="-2"/>
  </colFields>
  <colItems count="2">
    <i>
      <x/>
    </i>
    <i i="1">
      <x v="1"/>
    </i>
  </colItems>
  <dataFields count="2">
    <dataField name="Sum of Completed Tasks" fld="9" baseField="0" baseItem="0"/>
    <dataField name="Sum of Pending Tasks" fld="10" baseField="0" baseItem="0"/>
  </dataFields>
  <formats count="3">
    <format dxfId="194">
      <pivotArea collapsedLevelsAreSubtotals="1" fieldPosition="0">
        <references count="1">
          <reference field="1" count="0"/>
        </references>
      </pivotArea>
    </format>
    <format dxfId="193">
      <pivotArea collapsedLevelsAreSubtotals="1" fieldPosition="0">
        <references count="2">
          <reference field="4294967294" count="1" selected="0">
            <x v="0"/>
          </reference>
          <reference field="1" count="0"/>
        </references>
      </pivotArea>
    </format>
    <format dxfId="192">
      <pivotArea collapsedLevelsAreSubtotals="1" fieldPosition="0">
        <references count="2">
          <reference field="4294967294" count="1" selected="0">
            <x v="1"/>
          </reference>
          <reference field="1" count="0"/>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EC718B-1C32-4172-BBFC-0DA0806662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
  <location ref="A3:B10" firstHeaderRow="1" firstDataRow="1" firstDataCol="1"/>
  <pivotFields count="18">
    <pivotField numFmtId="15" showAll="0"/>
    <pivotField showAll="0"/>
    <pivotField showAll="0"/>
    <pivotField showAll="0"/>
    <pivotField axis="axisRow"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numFmtId="10" showAll="0"/>
    <pivotField numFmtId="10" showAll="0"/>
    <pivotField dataField="1" numFmtId="10" showAll="0"/>
    <pivotField showAll="0">
      <items count="4">
        <item x="0"/>
        <item x="2"/>
        <item x="1"/>
        <item t="default"/>
      </items>
    </pivotField>
  </pivotFields>
  <rowFields count="1">
    <field x="4"/>
  </rowFields>
  <rowItems count="7">
    <i>
      <x/>
    </i>
    <i>
      <x v="1"/>
    </i>
    <i>
      <x v="2"/>
    </i>
    <i>
      <x v="3"/>
    </i>
    <i>
      <x v="4"/>
    </i>
    <i>
      <x v="5"/>
    </i>
    <i t="grand">
      <x/>
    </i>
  </rowItems>
  <colItems count="1">
    <i/>
  </colItems>
  <dataFields count="1">
    <dataField name="Average of Achievement %" fld="16" subtotal="average" baseField="0" baseItem="0" numFmtId="10"/>
  </dataFields>
  <formats count="1">
    <format dxfId="195">
      <pivotArea collapsedLevelsAreSubtotals="1" fieldPosition="0">
        <references count="1">
          <reference field="4" count="0"/>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2F25D2-E572-40EF-B4CB-E1B95E7E51D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A13:B21" firstHeaderRow="1" firstDataRow="1" firstDataCol="1"/>
  <pivotFields count="18">
    <pivotField numFmtId="15" showAll="0"/>
    <pivotField axis="axisRow" showAll="0">
      <items count="8">
        <item x="0"/>
        <item x="1"/>
        <item x="2"/>
        <item x="3"/>
        <item x="4"/>
        <item x="5"/>
        <item x="6"/>
        <item t="default"/>
      </items>
    </pivotField>
    <pivotField showAll="0"/>
    <pivotField showAll="0">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dataField="1" numFmtId="10" showAll="0"/>
    <pivotField numFmtId="10" showAll="0"/>
    <pivotField numFmtId="10" showAll="0"/>
    <pivotField showAll="0">
      <items count="4">
        <item x="0"/>
        <item x="2"/>
        <item x="1"/>
        <item t="default"/>
      </items>
    </pivotField>
  </pivotFields>
  <rowFields count="1">
    <field x="1"/>
  </rowFields>
  <rowItems count="8">
    <i>
      <x/>
    </i>
    <i>
      <x v="1"/>
    </i>
    <i>
      <x v="2"/>
    </i>
    <i>
      <x v="3"/>
    </i>
    <i>
      <x v="4"/>
    </i>
    <i>
      <x v="5"/>
    </i>
    <i>
      <x v="6"/>
    </i>
    <i t="grand">
      <x/>
    </i>
  </rowItems>
  <colItems count="1">
    <i/>
  </colItems>
  <dataFields count="1">
    <dataField name="Average of Productivity %" fld="14" subtotal="average" baseField="0" baseItem="0" numFmtId="10"/>
  </dataFields>
  <formats count="1">
    <format dxfId="196">
      <pivotArea collapsedLevelsAreSubtotals="1" fieldPosition="0">
        <references count="1">
          <reference field="1" count="0"/>
        </references>
      </pivotArea>
    </format>
  </formats>
  <chartFormats count="5">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 chart="6"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79A2C1-83F6-410B-A574-950385B25A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Employee Name">
  <location ref="J3:K9" firstHeaderRow="1" firstDataRow="1" firstDataCol="1"/>
  <pivotFields count="18">
    <pivotField numFmtId="15" showAll="0"/>
    <pivotField showAll="0"/>
    <pivotField showAll="0"/>
    <pivotField axis="axisRow" showAll="0" measureFilter="1">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numFmtId="10" showAll="0"/>
    <pivotField numFmtId="10" showAll="0"/>
    <pivotField dataField="1" numFmtId="10" showAll="0"/>
    <pivotField showAll="0">
      <items count="4">
        <item x="0"/>
        <item x="2"/>
        <item x="1"/>
        <item t="default"/>
      </items>
    </pivotField>
  </pivotFields>
  <rowFields count="1">
    <field x="3"/>
  </rowFields>
  <rowItems count="6">
    <i>
      <x v="7"/>
    </i>
    <i>
      <x v="11"/>
    </i>
    <i>
      <x v="12"/>
    </i>
    <i>
      <x v="13"/>
    </i>
    <i>
      <x v="18"/>
    </i>
    <i t="grand">
      <x/>
    </i>
  </rowItems>
  <colItems count="1">
    <i/>
  </colItems>
  <dataFields count="1">
    <dataField name="Average of Achievement %" fld="16" subtotal="average" baseField="0" baseItem="0" numFmtId="10"/>
  </dataFields>
  <formats count="1">
    <format dxfId="197">
      <pivotArea collapsedLevelsAreSubtotals="1" fieldPosition="0">
        <references count="1">
          <reference field="3" count="5">
            <x v="7"/>
            <x v="11"/>
            <x v="12"/>
            <x v="13"/>
            <x v="18"/>
          </reference>
        </references>
      </pivotArea>
    </format>
  </format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3" count="1" selected="0">
            <x v="7"/>
          </reference>
        </references>
      </pivotArea>
    </chartFormat>
    <chartFormat chart="5" format="14">
      <pivotArea type="data" outline="0" fieldPosition="0">
        <references count="2">
          <reference field="4294967294" count="1" selected="0">
            <x v="0"/>
          </reference>
          <reference field="3" count="1" selected="0">
            <x v="11"/>
          </reference>
        </references>
      </pivotArea>
    </chartFormat>
    <chartFormat chart="5" format="15">
      <pivotArea type="data" outline="0" fieldPosition="0">
        <references count="2">
          <reference field="4294967294" count="1" selected="0">
            <x v="0"/>
          </reference>
          <reference field="3" count="1" selected="0">
            <x v="12"/>
          </reference>
        </references>
      </pivotArea>
    </chartFormat>
    <chartFormat chart="5" format="16">
      <pivotArea type="data" outline="0" fieldPosition="0">
        <references count="2">
          <reference field="4294967294" count="1" selected="0">
            <x v="0"/>
          </reference>
          <reference field="3" count="1" selected="0">
            <x v="13"/>
          </reference>
        </references>
      </pivotArea>
    </chartFormat>
    <chartFormat chart="5" format="17">
      <pivotArea type="data" outline="0" fieldPosition="0">
        <references count="2">
          <reference field="4294967294" count="1" selected="0">
            <x v="0"/>
          </reference>
          <reference field="3" count="1" selected="0">
            <x v="18"/>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96708B-3F43-4856-B452-D76CD66D97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G3:H8" firstHeaderRow="1" firstDataRow="1" firstDataCol="1"/>
  <pivotFields count="18">
    <pivotField numFmtId="15" showAll="0"/>
    <pivotField showAll="0"/>
    <pivotField showAll="0"/>
    <pivotField showAll="0"/>
    <pivotField showAll="0">
      <items count="7">
        <item x="2"/>
        <item x="3"/>
        <item x="5"/>
        <item x="1"/>
        <item x="4"/>
        <item x="0"/>
        <item t="default"/>
      </items>
    </pivotField>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numFmtId="10" showAll="0"/>
    <pivotField dataField="1" numFmtId="10" showAll="0"/>
    <pivotField numFmtId="10" showAll="0"/>
    <pivotField showAll="0">
      <items count="4">
        <item x="0"/>
        <item x="2"/>
        <item x="1"/>
        <item t="default"/>
      </items>
    </pivotField>
  </pivotFields>
  <rowFields count="1">
    <field x="5"/>
  </rowFields>
  <rowItems count="5">
    <i>
      <x/>
    </i>
    <i>
      <x v="1"/>
    </i>
    <i>
      <x v="2"/>
    </i>
    <i>
      <x v="3"/>
    </i>
    <i t="grand">
      <x/>
    </i>
  </rowItems>
  <colItems count="1">
    <i/>
  </colItems>
  <dataFields count="1">
    <dataField name="Average of Quality Score %" fld="15" subtotal="average" baseField="0" baseItem="0" numFmtId="10"/>
  </dataFields>
  <formats count="1">
    <format dxfId="198">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260EBD-9985-4051-A9CC-E9E16DB807F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erformance Status">
  <location ref="K13:L17" firstHeaderRow="1" firstDataRow="1" firstDataCol="1"/>
  <pivotFields count="18">
    <pivotField numFmtId="15" showAll="0"/>
    <pivotField showAll="0">
      <items count="8">
        <item x="0"/>
        <item x="1"/>
        <item x="2"/>
        <item x="3"/>
        <item x="4"/>
        <item x="5"/>
        <item x="6"/>
        <item t="default"/>
      </items>
    </pivotField>
    <pivotField dataField="1" showAll="0"/>
    <pivotField showAll="0">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showAll="0">
      <items count="4">
        <item x="1"/>
        <item x="0"/>
        <item x="2"/>
        <item t="default"/>
      </items>
    </pivotField>
    <pivotField showAll="0"/>
    <pivotField showAll="0"/>
    <pivotField showAll="0"/>
    <pivotField showAll="0"/>
    <pivotField showAll="0"/>
    <pivotField showAll="0"/>
    <pivotField numFmtId="10" showAll="0"/>
    <pivotField numFmtId="10" showAll="0"/>
    <pivotField numFmtId="10" showAll="0"/>
    <pivotField axis="axisRow" showAll="0">
      <items count="4">
        <item x="0"/>
        <item x="2"/>
        <item x="1"/>
        <item t="default"/>
      </items>
    </pivotField>
  </pivotFields>
  <rowFields count="1">
    <field x="17"/>
  </rowFields>
  <rowItems count="4">
    <i>
      <x/>
    </i>
    <i>
      <x v="1"/>
    </i>
    <i>
      <x v="2"/>
    </i>
    <i t="grand">
      <x/>
    </i>
  </rowItems>
  <colItems count="1">
    <i/>
  </colItems>
  <dataFields count="1">
    <dataField name="Count of Emp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A83A93-EF8F-4B0A-B84E-9B896AE9E49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endence Status">
  <location ref="H13:I17" firstHeaderRow="1" firstDataRow="1" firstDataCol="1"/>
  <pivotFields count="18">
    <pivotField numFmtId="15" showAll="0"/>
    <pivotField showAll="0">
      <items count="8">
        <item x="0"/>
        <item x="1"/>
        <item x="2"/>
        <item x="3"/>
        <item x="4"/>
        <item x="5"/>
        <item x="6"/>
        <item t="default"/>
      </items>
    </pivotField>
    <pivotField dataField="1" showAll="0"/>
    <pivotField showAll="0">
      <items count="21">
        <item x="12"/>
        <item x="15"/>
        <item x="14"/>
        <item x="11"/>
        <item x="18"/>
        <item x="6"/>
        <item x="9"/>
        <item x="0"/>
        <item x="3"/>
        <item x="10"/>
        <item x="8"/>
        <item x="19"/>
        <item x="5"/>
        <item x="1"/>
        <item x="13"/>
        <item x="4"/>
        <item x="16"/>
        <item x="2"/>
        <item x="7"/>
        <item x="17"/>
        <item t="default"/>
      </items>
    </pivotField>
    <pivotField showAll="0">
      <items count="7">
        <item x="2"/>
        <item x="3"/>
        <item x="5"/>
        <item x="1"/>
        <item x="4"/>
        <item x="0"/>
        <item t="default"/>
      </items>
    </pivotField>
    <pivotField showAll="0">
      <items count="5">
        <item x="0"/>
        <item x="2"/>
        <item x="3"/>
        <item x="1"/>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numFmtId="10" showAll="0"/>
    <pivotField numFmtId="10" showAll="0"/>
    <pivotField numFmtId="10" showAll="0"/>
    <pivotField showAll="0">
      <items count="4">
        <item x="0"/>
        <item x="2"/>
        <item x="1"/>
        <item t="default"/>
      </items>
    </pivotField>
  </pivotFields>
  <rowFields count="1">
    <field x="7"/>
  </rowFields>
  <rowItems count="4">
    <i>
      <x/>
    </i>
    <i>
      <x v="1"/>
    </i>
    <i>
      <x v="2"/>
    </i>
    <i t="grand">
      <x/>
    </i>
  </rowItems>
  <colItems count="1">
    <i/>
  </colItems>
  <dataFields count="1">
    <dataField name="Count of Emp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88A05C-B5D4-425A-837D-57EF8EB6DA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
  <location ref="D3:E10" firstHeaderRow="1" firstDataRow="1" firstDataCol="1"/>
  <pivotFields count="18">
    <pivotField numFmtId="15" showAll="0"/>
    <pivotField showAll="0"/>
    <pivotField showAll="0"/>
    <pivotField showAll="0"/>
    <pivotField axis="axisRow" showAll="0">
      <items count="7">
        <item x="2"/>
        <item x="3"/>
        <item x="5"/>
        <item x="1"/>
        <item x="4"/>
        <item x="0"/>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dataField="1" numFmtId="10" showAll="0"/>
    <pivotField numFmtId="10" showAll="0"/>
    <pivotField numFmtId="10" showAll="0"/>
    <pivotField showAll="0">
      <items count="4">
        <item x="0"/>
        <item x="2"/>
        <item x="1"/>
        <item t="default"/>
      </items>
    </pivotField>
  </pivotFields>
  <rowFields count="1">
    <field x="4"/>
  </rowFields>
  <rowItems count="7">
    <i>
      <x/>
    </i>
    <i>
      <x v="1"/>
    </i>
    <i>
      <x v="2"/>
    </i>
    <i>
      <x v="3"/>
    </i>
    <i>
      <x v="4"/>
    </i>
    <i>
      <x v="5"/>
    </i>
    <i t="grand">
      <x/>
    </i>
  </rowItems>
  <colItems count="1">
    <i/>
  </colItems>
  <dataFields count="1">
    <dataField name="Average of Productivity %" fld="14" subtotal="average" baseField="0" baseItem="0" numFmtId="10"/>
  </dataFields>
  <formats count="2">
    <format dxfId="200">
      <pivotArea collapsedLevelsAreSubtotals="1" fieldPosition="0">
        <references count="1">
          <reference field="4" count="1">
            <x v="0"/>
          </reference>
        </references>
      </pivotArea>
    </format>
    <format dxfId="199">
      <pivotArea collapsedLevelsAreSubtotals="1" fieldPosition="0">
        <references count="1">
          <reference field="4" count="5">
            <x v="1"/>
            <x v="2"/>
            <x v="3"/>
            <x v="4"/>
            <x v="5"/>
          </reference>
        </references>
      </pivotArea>
    </format>
  </formats>
  <chartFormats count="7">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4" count="1" selected="0">
            <x v="0"/>
          </reference>
        </references>
      </pivotArea>
    </chartFormat>
    <chartFormat chart="6" format="10">
      <pivotArea type="data" outline="0" fieldPosition="0">
        <references count="2">
          <reference field="4294967294" count="1" selected="0">
            <x v="0"/>
          </reference>
          <reference field="4" count="1" selected="0">
            <x v="1"/>
          </reference>
        </references>
      </pivotArea>
    </chartFormat>
    <chartFormat chart="6" format="11">
      <pivotArea type="data" outline="0" fieldPosition="0">
        <references count="2">
          <reference field="4294967294" count="1" selected="0">
            <x v="0"/>
          </reference>
          <reference field="4" count="1" selected="0">
            <x v="2"/>
          </reference>
        </references>
      </pivotArea>
    </chartFormat>
    <chartFormat chart="6" format="12">
      <pivotArea type="data" outline="0" fieldPosition="0">
        <references count="2">
          <reference field="4294967294" count="1" selected="0">
            <x v="0"/>
          </reference>
          <reference field="4" count="1" selected="0">
            <x v="3"/>
          </reference>
        </references>
      </pivotArea>
    </chartFormat>
    <chartFormat chart="6" format="13">
      <pivotArea type="data" outline="0" fieldPosition="0">
        <references count="2">
          <reference field="4294967294" count="1" selected="0">
            <x v="0"/>
          </reference>
          <reference field="4" count="1" selected="0">
            <x v="4"/>
          </reference>
        </references>
      </pivotArea>
    </chartFormat>
    <chartFormat chart="6"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1C0168-FDD3-4995-AB1A-4455532C74AF}" sourceName="Region">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tabular pivotCacheId="305783562">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tatus" xr10:uid="{234A607E-14DD-42DD-A011-539C380E443E}" sourceName="Performance Status">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tabular pivotCacheId="30578356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CF977E7-F8E0-4B13-88C6-7DC3417D87EA}" sourceName="Department">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s>
  <data>
    <tabular pivotCacheId="305783562">
      <items count="6">
        <i x="2" s="1"/>
        <i x="3" s="1"/>
        <i x="5"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A5E6F82-59BE-4EDC-8B6D-83CEA50D5680}" cache="Slicer_Region" caption="Region" rowHeight="247650"/>
  <slicer name="Performance Status" xr10:uid="{09BAEDFA-6ECA-4B55-898F-4C1B137D66EF}" cache="Slicer_Performance_Status" caption="Performance Status" rowHeight="247650"/>
  <slicer name="Department" xr10:uid="{E85BEB15-74F3-4E0A-8640-322B71F44887}" cache="Slicer_Department" caption="Depart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E7FB95-AEE7-45CA-A521-BA2C97CF9569}" name="Table1" displayName="Table1" ref="A1:R90" totalsRowShown="0" headerRowDxfId="191" dataDxfId="190" tableBorderDxfId="189">
  <autoFilter ref="A1:R90" xr:uid="{69FC0A94-E23B-4576-997B-E8EFE3ED05AC}"/>
  <tableColumns count="18">
    <tableColumn id="1" xr3:uid="{AC43BF7F-5E27-44C8-A205-26F114CA8FCF}" name="Date" dataDxfId="188"/>
    <tableColumn id="2" xr3:uid="{7FEED3FC-D153-4DD1-866B-35C4AB5282B7}" name="Month" dataDxfId="187"/>
    <tableColumn id="3" xr3:uid="{DCDB28CB-2F24-4051-851F-3579270C8163}" name="Emp ID" dataDxfId="186"/>
    <tableColumn id="4" xr3:uid="{27EC3123-4238-43F5-B7D7-D8A5B5B8A45F}" name="Employee Name" dataDxfId="185"/>
    <tableColumn id="5" xr3:uid="{E45D1BF5-B4EC-4FE4-8CE9-9096E183FB44}" name="Department" dataDxfId="184"/>
    <tableColumn id="6" xr3:uid="{D9FBEA35-452B-4FF4-970D-CC6B8D2A8F03}" name="Region" dataDxfId="183"/>
    <tableColumn id="7" xr3:uid="{EF25F711-6665-4989-90A8-ED289742265E}" name="Working Days" dataDxfId="182"/>
    <tableColumn id="8" xr3:uid="{3ED9D940-8769-4A6A-918E-C8DFA6B4A156}" name="Attendance Status" dataDxfId="181"/>
    <tableColumn id="9" xr3:uid="{1176ADA9-4C5D-4B3C-B12D-A2B61F4ECDDA}" name="Target Tasks" dataDxfId="180"/>
    <tableColumn id="10" xr3:uid="{8CE200D0-6DBD-48AD-91FD-17145A659135}" name="Completed Tasks" dataDxfId="179"/>
    <tableColumn id="11" xr3:uid="{7E358F37-4ADF-46DD-9D7B-7BAFF186BA07}" name="Pending Tasks" dataDxfId="178"/>
    <tableColumn id="12" xr3:uid="{12F77927-69AB-434F-9890-C8B93DCA16D1}" name="Target Hours" dataDxfId="177"/>
    <tableColumn id="13" xr3:uid="{D099350F-3C2D-4C35-932F-BA4C07A91BD6}" name="Actual Hours" dataDxfId="176"/>
    <tableColumn id="14" xr3:uid="{8274ADBD-B203-4B21-AF7C-AC7638F7AD6E}" name="Overtime Hours" dataDxfId="175"/>
    <tableColumn id="15" xr3:uid="{17C60453-F4A9-46BF-B473-8DB5393080E8}" name="Productivity %" dataDxfId="174"/>
    <tableColumn id="16" xr3:uid="{7E045E47-EB1F-47D3-8C6A-E4631BB408A2}" name="Quality Score %" dataDxfId="173"/>
    <tableColumn id="17" xr3:uid="{8A8468AF-374D-48F4-B7BF-C909B0F527E7}" name="Achievement %" dataDxfId="172"/>
    <tableColumn id="18" xr3:uid="{7173DE55-BAB1-4510-9C55-C01CE51D26FC}" name="Performance Status" dataDxfId="17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8808C-EE2C-4FF6-9A48-85BCA918DB22}">
  <sheetPr codeName="Sheet1"/>
  <dimension ref="A3:L28"/>
  <sheetViews>
    <sheetView showGridLines="0" workbookViewId="0">
      <selection activeCell="B6" sqref="B6"/>
    </sheetView>
  </sheetViews>
  <sheetFormatPr defaultRowHeight="14.4" x14ac:dyDescent="0.3"/>
  <cols>
    <col min="1" max="1" width="10.5546875" bestFit="1" customWidth="1"/>
    <col min="2" max="2" width="22.109375" bestFit="1" customWidth="1"/>
    <col min="4" max="4" width="10.5546875" bestFit="1" customWidth="1"/>
    <col min="5" max="5" width="21.6640625" bestFit="1" customWidth="1"/>
    <col min="6" max="6" width="18.88671875" bestFit="1" customWidth="1"/>
    <col min="7" max="7" width="10.5546875" bestFit="1" customWidth="1"/>
    <col min="8" max="8" width="18.5546875" bestFit="1" customWidth="1"/>
    <col min="9" max="9" width="14.109375" bestFit="1" customWidth="1"/>
    <col min="10" max="10" width="16.88671875" bestFit="1" customWidth="1"/>
    <col min="11" max="11" width="19.77734375" bestFit="1" customWidth="1"/>
    <col min="12" max="12" width="14.109375" bestFit="1" customWidth="1"/>
  </cols>
  <sheetData>
    <row r="3" spans="1:12" x14ac:dyDescent="0.3">
      <c r="A3" s="9" t="s">
        <v>4</v>
      </c>
      <c r="B3" t="s">
        <v>82</v>
      </c>
      <c r="D3" s="9" t="s">
        <v>4</v>
      </c>
      <c r="E3" t="s">
        <v>83</v>
      </c>
      <c r="G3" s="9" t="s">
        <v>5</v>
      </c>
      <c r="H3" t="s">
        <v>84</v>
      </c>
      <c r="J3" s="9" t="s">
        <v>3</v>
      </c>
      <c r="K3" t="s">
        <v>82</v>
      </c>
    </row>
    <row r="4" spans="1:12" x14ac:dyDescent="0.3">
      <c r="A4" s="10" t="s">
        <v>37</v>
      </c>
      <c r="B4" s="12">
        <v>0.92128571428571437</v>
      </c>
      <c r="D4" s="10" t="s">
        <v>37</v>
      </c>
      <c r="E4" s="12">
        <v>0.92964285714285733</v>
      </c>
      <c r="G4" s="10" t="s">
        <v>22</v>
      </c>
      <c r="H4" s="12">
        <v>0.90867999999999993</v>
      </c>
      <c r="J4" s="10" t="s">
        <v>20</v>
      </c>
      <c r="K4" s="12">
        <v>0.96779999999999988</v>
      </c>
    </row>
    <row r="5" spans="1:12" x14ac:dyDescent="0.3">
      <c r="A5" s="10" t="s">
        <v>43</v>
      </c>
      <c r="B5" s="12">
        <v>0.90971428571428581</v>
      </c>
      <c r="D5" s="10" t="s">
        <v>43</v>
      </c>
      <c r="E5" s="12">
        <v>0.91899999999999993</v>
      </c>
      <c r="G5" s="10" t="s">
        <v>32</v>
      </c>
      <c r="H5" s="12">
        <v>0.89919047619047632</v>
      </c>
      <c r="J5" s="10" t="s">
        <v>77</v>
      </c>
      <c r="K5" s="12">
        <v>0.93299999999999994</v>
      </c>
    </row>
    <row r="6" spans="1:12" x14ac:dyDescent="0.3">
      <c r="A6" s="10" t="s">
        <v>55</v>
      </c>
      <c r="B6" s="12">
        <v>0.90069230769230768</v>
      </c>
      <c r="D6" s="10" t="s">
        <v>55</v>
      </c>
      <c r="E6" s="12">
        <v>0.91823076923076929</v>
      </c>
      <c r="G6" s="10" t="s">
        <v>38</v>
      </c>
      <c r="H6" s="12">
        <v>0.83890909090909094</v>
      </c>
      <c r="J6" s="10" t="s">
        <v>40</v>
      </c>
      <c r="K6" s="12">
        <v>0.97300000000000009</v>
      </c>
    </row>
    <row r="7" spans="1:12" x14ac:dyDescent="0.3">
      <c r="A7" s="10" t="s">
        <v>31</v>
      </c>
      <c r="B7" s="12">
        <v>0.87405555555555559</v>
      </c>
      <c r="D7" s="10" t="s">
        <v>31</v>
      </c>
      <c r="E7" s="12">
        <v>0.89044444444444459</v>
      </c>
      <c r="G7" s="10" t="s">
        <v>27</v>
      </c>
      <c r="H7" s="12">
        <v>0.9027142857142858</v>
      </c>
      <c r="J7" s="10" t="s">
        <v>26</v>
      </c>
      <c r="K7" s="12">
        <v>0.93099999999999983</v>
      </c>
    </row>
    <row r="8" spans="1:12" x14ac:dyDescent="0.3">
      <c r="A8" s="10" t="s">
        <v>49</v>
      </c>
      <c r="B8" s="12">
        <v>0.89715384615384608</v>
      </c>
      <c r="D8" s="10" t="s">
        <v>49</v>
      </c>
      <c r="E8" s="12">
        <v>0.90399999999999991</v>
      </c>
      <c r="G8" s="10" t="s">
        <v>81</v>
      </c>
      <c r="H8" s="11">
        <v>0.88778651685393262</v>
      </c>
      <c r="J8" s="10" t="s">
        <v>45</v>
      </c>
      <c r="K8" s="12">
        <v>0.93479999999999985</v>
      </c>
    </row>
    <row r="9" spans="1:12" x14ac:dyDescent="0.3">
      <c r="A9" s="10" t="s">
        <v>21</v>
      </c>
      <c r="B9" s="12">
        <v>0.93629411764705872</v>
      </c>
      <c r="D9" s="10" t="s">
        <v>21</v>
      </c>
      <c r="E9" s="12">
        <v>0.95035294117647051</v>
      </c>
      <c r="J9" s="10" t="s">
        <v>81</v>
      </c>
      <c r="K9" s="11">
        <v>0.9492173913043479</v>
      </c>
    </row>
    <row r="10" spans="1:12" x14ac:dyDescent="0.3">
      <c r="A10" s="10" t="s">
        <v>81</v>
      </c>
      <c r="B10" s="11">
        <v>0.90624719101123585</v>
      </c>
      <c r="D10" s="10" t="s">
        <v>81</v>
      </c>
      <c r="E10" s="11">
        <v>0.91858426966292162</v>
      </c>
    </row>
    <row r="13" spans="1:12" x14ac:dyDescent="0.3">
      <c r="A13" s="9" t="s">
        <v>1</v>
      </c>
      <c r="B13" t="s">
        <v>83</v>
      </c>
      <c r="D13" s="9" t="s">
        <v>1</v>
      </c>
      <c r="E13" t="s">
        <v>85</v>
      </c>
      <c r="F13" t="s">
        <v>86</v>
      </c>
      <c r="H13" s="9" t="s">
        <v>88</v>
      </c>
      <c r="I13" t="s">
        <v>87</v>
      </c>
      <c r="K13" s="9" t="s">
        <v>17</v>
      </c>
      <c r="L13" t="s">
        <v>87</v>
      </c>
    </row>
    <row r="14" spans="1:12" x14ac:dyDescent="0.3">
      <c r="A14" s="10" t="s">
        <v>18</v>
      </c>
      <c r="B14" s="12">
        <v>0.96260000000000001</v>
      </c>
      <c r="D14" s="10" t="s">
        <v>18</v>
      </c>
      <c r="E14" s="13">
        <v>209</v>
      </c>
      <c r="F14" s="13">
        <v>133</v>
      </c>
      <c r="H14" s="10" t="s">
        <v>28</v>
      </c>
      <c r="I14" s="18">
        <v>8</v>
      </c>
      <c r="K14" s="10" t="s">
        <v>24</v>
      </c>
      <c r="L14" s="18">
        <v>58</v>
      </c>
    </row>
    <row r="15" spans="1:12" x14ac:dyDescent="0.3">
      <c r="A15" s="10" t="s">
        <v>64</v>
      </c>
      <c r="B15" s="12">
        <v>0.94374999999999998</v>
      </c>
      <c r="D15" s="10" t="s">
        <v>64</v>
      </c>
      <c r="E15" s="13">
        <v>173</v>
      </c>
      <c r="F15" s="13">
        <v>79</v>
      </c>
      <c r="H15" s="10" t="s">
        <v>23</v>
      </c>
      <c r="I15" s="18">
        <v>67</v>
      </c>
      <c r="K15" s="10" t="s">
        <v>74</v>
      </c>
      <c r="L15" s="18">
        <v>11</v>
      </c>
    </row>
    <row r="16" spans="1:12" x14ac:dyDescent="0.3">
      <c r="A16" s="10" t="s">
        <v>71</v>
      </c>
      <c r="B16" s="12">
        <v>0.85171428571428598</v>
      </c>
      <c r="D16" s="10" t="s">
        <v>71</v>
      </c>
      <c r="E16" s="13">
        <v>175</v>
      </c>
      <c r="F16" s="13">
        <v>69</v>
      </c>
      <c r="H16" s="10" t="s">
        <v>46</v>
      </c>
      <c r="I16" s="18">
        <v>14</v>
      </c>
      <c r="K16" s="10" t="s">
        <v>50</v>
      </c>
      <c r="L16" s="18">
        <v>20</v>
      </c>
    </row>
    <row r="17" spans="1:12" x14ac:dyDescent="0.3">
      <c r="A17" s="10" t="s">
        <v>75</v>
      </c>
      <c r="B17" s="12">
        <v>0.93092307692307696</v>
      </c>
      <c r="D17" s="10" t="s">
        <v>75</v>
      </c>
      <c r="E17" s="13">
        <v>154</v>
      </c>
      <c r="F17" s="13">
        <v>80</v>
      </c>
      <c r="H17" s="10" t="s">
        <v>81</v>
      </c>
      <c r="I17" s="18">
        <v>89</v>
      </c>
      <c r="K17" s="10" t="s">
        <v>81</v>
      </c>
      <c r="L17" s="18">
        <v>89</v>
      </c>
    </row>
    <row r="18" spans="1:12" x14ac:dyDescent="0.3">
      <c r="A18" s="10" t="s">
        <v>78</v>
      </c>
      <c r="B18" s="12">
        <v>0.91907142857142865</v>
      </c>
      <c r="D18" s="10" t="s">
        <v>78</v>
      </c>
      <c r="E18" s="13">
        <v>179</v>
      </c>
      <c r="F18" s="13">
        <v>62</v>
      </c>
    </row>
    <row r="19" spans="1:12" x14ac:dyDescent="0.3">
      <c r="A19" s="10" t="s">
        <v>79</v>
      </c>
      <c r="B19" s="12">
        <v>0.91184615384615375</v>
      </c>
      <c r="D19" s="10" t="s">
        <v>79</v>
      </c>
      <c r="E19" s="13">
        <v>178</v>
      </c>
      <c r="F19" s="13">
        <v>65</v>
      </c>
      <c r="H19" s="10" t="s">
        <v>89</v>
      </c>
      <c r="I19" t="s">
        <v>84</v>
      </c>
    </row>
    <row r="20" spans="1:12" x14ac:dyDescent="0.3">
      <c r="A20" s="10" t="s">
        <v>80</v>
      </c>
      <c r="B20" s="12">
        <v>0.90537500000000004</v>
      </c>
      <c r="D20" s="10" t="s">
        <v>80</v>
      </c>
      <c r="E20" s="13">
        <v>109</v>
      </c>
      <c r="F20" s="13">
        <v>40</v>
      </c>
      <c r="H20" s="10" t="s">
        <v>22</v>
      </c>
      <c r="I20" s="12">
        <f>H4</f>
        <v>0.90867999999999993</v>
      </c>
    </row>
    <row r="21" spans="1:12" x14ac:dyDescent="0.3">
      <c r="A21" s="10" t="s">
        <v>81</v>
      </c>
      <c r="B21" s="11">
        <v>0.91858426966292139</v>
      </c>
      <c r="D21" s="10" t="s">
        <v>81</v>
      </c>
      <c r="E21" s="18">
        <v>1177</v>
      </c>
      <c r="F21" s="18">
        <v>528</v>
      </c>
      <c r="H21" s="10" t="s">
        <v>32</v>
      </c>
      <c r="I21" s="12">
        <f>H5</f>
        <v>0.89919047619047632</v>
      </c>
    </row>
    <row r="22" spans="1:12" x14ac:dyDescent="0.3">
      <c r="H22" s="10" t="s">
        <v>38</v>
      </c>
      <c r="I22" s="12">
        <f>H6</f>
        <v>0.83890909090909094</v>
      </c>
    </row>
    <row r="23" spans="1:12" x14ac:dyDescent="0.3">
      <c r="A23" s="14" t="s">
        <v>90</v>
      </c>
      <c r="B23" s="15" t="s">
        <v>91</v>
      </c>
      <c r="H23" s="10" t="s">
        <v>27</v>
      </c>
      <c r="I23" s="12">
        <f>H7</f>
        <v>0.9027142857142858</v>
      </c>
    </row>
    <row r="24" spans="1:12" x14ac:dyDescent="0.3">
      <c r="A24" s="14" t="s">
        <v>92</v>
      </c>
      <c r="B24" s="15">
        <f>I17</f>
        <v>89</v>
      </c>
    </row>
    <row r="25" spans="1:12" x14ac:dyDescent="0.3">
      <c r="A25" s="14" t="s">
        <v>93</v>
      </c>
      <c r="B25" s="16">
        <f>E10</f>
        <v>0.91858426966292162</v>
      </c>
    </row>
    <row r="26" spans="1:12" x14ac:dyDescent="0.3">
      <c r="A26" s="14" t="s">
        <v>94</v>
      </c>
      <c r="B26" s="16">
        <f>B10</f>
        <v>0.90624719101123585</v>
      </c>
    </row>
    <row r="27" spans="1:12" x14ac:dyDescent="0.3">
      <c r="A27" s="14" t="s">
        <v>95</v>
      </c>
      <c r="B27" s="15">
        <f>E21</f>
        <v>1177</v>
      </c>
    </row>
    <row r="28" spans="1:12" x14ac:dyDescent="0.3">
      <c r="A28" s="14" t="s">
        <v>96</v>
      </c>
      <c r="B28" s="16">
        <f>H8</f>
        <v>0.88778651685393262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574F8-4986-424D-AA40-FF9DF5196DB0}">
  <sheetPr codeName="Sheet2"/>
  <dimension ref="A1"/>
  <sheetViews>
    <sheetView showGridLines="0" tabSelected="1" zoomScale="70" zoomScaleNormal="70" workbookViewId="0">
      <selection activeCell="Y12" sqref="Y12"/>
    </sheetView>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0A94-E23B-4576-997B-E8EFE3ED05AC}">
  <sheetPr codeName="Sheet3"/>
  <dimension ref="A1:R90"/>
  <sheetViews>
    <sheetView topLeftCell="A2" zoomScale="70" zoomScaleNormal="70" workbookViewId="0">
      <selection sqref="A1:R90"/>
    </sheetView>
  </sheetViews>
  <sheetFormatPr defaultRowHeight="14.4" x14ac:dyDescent="0.3"/>
  <cols>
    <col min="1" max="1" width="10.5546875" bestFit="1" customWidth="1"/>
    <col min="2" max="2" width="10.109375" bestFit="1" customWidth="1"/>
    <col min="3" max="3" width="10.21875" bestFit="1" customWidth="1"/>
    <col min="4" max="4" width="18.6640625" bestFit="1" customWidth="1"/>
    <col min="5" max="5" width="15" bestFit="1" customWidth="1"/>
    <col min="6" max="6" width="10.109375" bestFit="1" customWidth="1"/>
    <col min="7" max="7" width="16" bestFit="1" customWidth="1"/>
    <col min="8" max="8" width="20.44140625" bestFit="1" customWidth="1"/>
    <col min="9" max="9" width="14.6640625" bestFit="1" customWidth="1"/>
    <col min="10" max="10" width="19" bestFit="1" customWidth="1"/>
    <col min="11" max="11" width="16.109375" bestFit="1" customWidth="1"/>
    <col min="12" max="12" width="15.33203125" bestFit="1" customWidth="1"/>
    <col min="13" max="13" width="15.21875" bestFit="1" customWidth="1"/>
    <col min="14" max="14" width="18.33203125" bestFit="1" customWidth="1"/>
    <col min="15" max="15" width="16.6640625" bestFit="1" customWidth="1"/>
    <col min="16" max="16" width="17.77734375" bestFit="1" customWidth="1"/>
    <col min="17" max="17" width="17.88671875" bestFit="1" customWidth="1"/>
    <col min="18" max="18" width="19.44140625" customWidth="1"/>
  </cols>
  <sheetData>
    <row r="1" spans="1:18" ht="43.2" x14ac:dyDescent="0.3">
      <c r="A1" s="7" t="s">
        <v>0</v>
      </c>
      <c r="B1" s="7" t="s">
        <v>1</v>
      </c>
      <c r="C1" s="8"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row>
    <row r="2" spans="1:18" x14ac:dyDescent="0.3">
      <c r="A2" s="1">
        <v>46023</v>
      </c>
      <c r="B2" s="2" t="s">
        <v>18</v>
      </c>
      <c r="C2" s="2" t="s">
        <v>19</v>
      </c>
      <c r="D2" s="2" t="s">
        <v>20</v>
      </c>
      <c r="E2" s="2" t="s">
        <v>21</v>
      </c>
      <c r="F2" s="2" t="s">
        <v>22</v>
      </c>
      <c r="G2" s="2">
        <v>22</v>
      </c>
      <c r="H2" s="2" t="s">
        <v>23</v>
      </c>
      <c r="I2" s="2">
        <v>8</v>
      </c>
      <c r="J2" s="2">
        <v>10</v>
      </c>
      <c r="K2" s="2">
        <v>0</v>
      </c>
      <c r="L2" s="2">
        <v>8</v>
      </c>
      <c r="M2" s="2">
        <v>8.5</v>
      </c>
      <c r="N2" s="2">
        <v>0.5</v>
      </c>
      <c r="O2" s="3">
        <v>1</v>
      </c>
      <c r="P2" s="3">
        <v>0.91100000000000003</v>
      </c>
      <c r="Q2" s="3">
        <v>0.96399999999999997</v>
      </c>
      <c r="R2" s="2" t="s">
        <v>24</v>
      </c>
    </row>
    <row r="3" spans="1:18" x14ac:dyDescent="0.3">
      <c r="A3" s="1">
        <v>46025</v>
      </c>
      <c r="B3" s="2" t="s">
        <v>18</v>
      </c>
      <c r="C3" s="2" t="s">
        <v>25</v>
      </c>
      <c r="D3" s="2" t="s">
        <v>26</v>
      </c>
      <c r="E3" s="2" t="s">
        <v>21</v>
      </c>
      <c r="F3" s="2" t="s">
        <v>27</v>
      </c>
      <c r="G3" s="2">
        <v>20</v>
      </c>
      <c r="H3" s="2" t="s">
        <v>28</v>
      </c>
      <c r="I3" s="2">
        <v>19</v>
      </c>
      <c r="J3" s="2">
        <v>20</v>
      </c>
      <c r="K3" s="2">
        <v>0</v>
      </c>
      <c r="L3" s="2">
        <v>7</v>
      </c>
      <c r="M3" s="2">
        <v>6.8</v>
      </c>
      <c r="N3" s="2">
        <v>0</v>
      </c>
      <c r="O3" s="3">
        <v>1</v>
      </c>
      <c r="P3" s="3">
        <v>0.88700000000000001</v>
      </c>
      <c r="Q3" s="3">
        <v>0.95499999999999996</v>
      </c>
      <c r="R3" s="2" t="s">
        <v>24</v>
      </c>
    </row>
    <row r="4" spans="1:18" x14ac:dyDescent="0.3">
      <c r="A4" s="1">
        <v>46027</v>
      </c>
      <c r="B4" s="2" t="s">
        <v>18</v>
      </c>
      <c r="C4" s="2" t="s">
        <v>29</v>
      </c>
      <c r="D4" s="2" t="s">
        <v>30</v>
      </c>
      <c r="E4" s="2" t="s">
        <v>31</v>
      </c>
      <c r="F4" s="2" t="s">
        <v>32</v>
      </c>
      <c r="G4" s="2">
        <v>20</v>
      </c>
      <c r="H4" s="2" t="s">
        <v>23</v>
      </c>
      <c r="I4" s="2">
        <v>11</v>
      </c>
      <c r="J4" s="2">
        <v>12</v>
      </c>
      <c r="K4" s="2">
        <v>0</v>
      </c>
      <c r="L4" s="2">
        <v>9</v>
      </c>
      <c r="M4" s="2">
        <v>9.6999999999999993</v>
      </c>
      <c r="N4" s="2">
        <v>0.7</v>
      </c>
      <c r="O4" s="3">
        <v>1</v>
      </c>
      <c r="P4" s="3">
        <v>0.92400000000000004</v>
      </c>
      <c r="Q4" s="3">
        <v>0.97</v>
      </c>
      <c r="R4" s="2" t="s">
        <v>24</v>
      </c>
    </row>
    <row r="5" spans="1:18" x14ac:dyDescent="0.3">
      <c r="A5" s="1">
        <v>46029</v>
      </c>
      <c r="B5" s="2" t="s">
        <v>18</v>
      </c>
      <c r="C5" s="2" t="s">
        <v>33</v>
      </c>
      <c r="D5" s="2" t="s">
        <v>34</v>
      </c>
      <c r="E5" s="2" t="s">
        <v>31</v>
      </c>
      <c r="F5" s="2" t="s">
        <v>22</v>
      </c>
      <c r="G5" s="2">
        <v>22</v>
      </c>
      <c r="H5" s="2" t="s">
        <v>28</v>
      </c>
      <c r="I5" s="2">
        <v>16</v>
      </c>
      <c r="J5" s="2">
        <v>16</v>
      </c>
      <c r="K5" s="2">
        <v>0</v>
      </c>
      <c r="L5" s="2">
        <v>7</v>
      </c>
      <c r="M5" s="2">
        <v>8.6999999999999993</v>
      </c>
      <c r="N5" s="2">
        <v>1.7</v>
      </c>
      <c r="O5" s="3">
        <v>0.99199999999999999</v>
      </c>
      <c r="P5" s="3">
        <v>0.93300000000000005</v>
      </c>
      <c r="Q5" s="3">
        <v>0.96799999999999997</v>
      </c>
      <c r="R5" s="2" t="s">
        <v>24</v>
      </c>
    </row>
    <row r="6" spans="1:18" x14ac:dyDescent="0.3">
      <c r="A6" s="1">
        <v>46031</v>
      </c>
      <c r="B6" s="2" t="s">
        <v>18</v>
      </c>
      <c r="C6" s="2" t="s">
        <v>35</v>
      </c>
      <c r="D6" s="2" t="s">
        <v>36</v>
      </c>
      <c r="E6" s="2" t="s">
        <v>37</v>
      </c>
      <c r="F6" s="2" t="s">
        <v>38</v>
      </c>
      <c r="G6" s="2">
        <v>20</v>
      </c>
      <c r="H6" s="2" t="s">
        <v>23</v>
      </c>
      <c r="I6" s="2">
        <v>19</v>
      </c>
      <c r="J6" s="2">
        <v>19</v>
      </c>
      <c r="K6" s="2">
        <v>0</v>
      </c>
      <c r="L6" s="2">
        <v>8</v>
      </c>
      <c r="M6" s="2">
        <v>7.7</v>
      </c>
      <c r="N6" s="2">
        <v>0</v>
      </c>
      <c r="O6" s="3">
        <v>0.96399999999999997</v>
      </c>
      <c r="P6" s="3">
        <v>0.89100000000000001</v>
      </c>
      <c r="Q6" s="3">
        <v>0.93500000000000005</v>
      </c>
      <c r="R6" s="2" t="s">
        <v>24</v>
      </c>
    </row>
    <row r="7" spans="1:18" x14ac:dyDescent="0.3">
      <c r="A7" s="1">
        <v>46033</v>
      </c>
      <c r="B7" s="2" t="s">
        <v>18</v>
      </c>
      <c r="C7" s="2" t="s">
        <v>39</v>
      </c>
      <c r="D7" s="2" t="s">
        <v>40</v>
      </c>
      <c r="E7" s="2" t="s">
        <v>37</v>
      </c>
      <c r="F7" s="2" t="s">
        <v>27</v>
      </c>
      <c r="G7" s="2">
        <v>21</v>
      </c>
      <c r="H7" s="2" t="s">
        <v>23</v>
      </c>
      <c r="I7" s="2">
        <v>9</v>
      </c>
      <c r="J7" s="2">
        <v>9</v>
      </c>
      <c r="K7" s="2">
        <v>10</v>
      </c>
      <c r="L7" s="2">
        <v>7</v>
      </c>
      <c r="M7" s="2">
        <v>6.7</v>
      </c>
      <c r="N7" s="2">
        <v>0</v>
      </c>
      <c r="O7" s="3">
        <v>0.97699999999999998</v>
      </c>
      <c r="P7" s="3">
        <v>0.93300000000000005</v>
      </c>
      <c r="Q7" s="3">
        <v>0.95899999999999996</v>
      </c>
      <c r="R7" s="2" t="s">
        <v>24</v>
      </c>
    </row>
    <row r="8" spans="1:18" x14ac:dyDescent="0.3">
      <c r="A8" s="1">
        <v>46035</v>
      </c>
      <c r="B8" s="2" t="s">
        <v>18</v>
      </c>
      <c r="C8" s="2" t="s">
        <v>41</v>
      </c>
      <c r="D8" s="2" t="s">
        <v>42</v>
      </c>
      <c r="E8" s="2" t="s">
        <v>43</v>
      </c>
      <c r="F8" s="2" t="s">
        <v>32</v>
      </c>
      <c r="G8" s="2">
        <v>21</v>
      </c>
      <c r="H8" s="2" t="s">
        <v>23</v>
      </c>
      <c r="I8" s="2">
        <v>19</v>
      </c>
      <c r="J8" s="2">
        <v>19</v>
      </c>
      <c r="K8" s="2">
        <v>0</v>
      </c>
      <c r="L8" s="2">
        <v>9</v>
      </c>
      <c r="M8" s="2">
        <v>10.7</v>
      </c>
      <c r="N8" s="2">
        <v>1.7</v>
      </c>
      <c r="O8" s="3">
        <v>0.94</v>
      </c>
      <c r="P8" s="3">
        <v>1</v>
      </c>
      <c r="Q8" s="3">
        <v>0.96399999999999997</v>
      </c>
      <c r="R8" s="2" t="s">
        <v>24</v>
      </c>
    </row>
    <row r="9" spans="1:18" x14ac:dyDescent="0.3">
      <c r="A9" s="1">
        <v>46037</v>
      </c>
      <c r="B9" s="2" t="s">
        <v>18</v>
      </c>
      <c r="C9" s="2" t="s">
        <v>44</v>
      </c>
      <c r="D9" s="2" t="s">
        <v>45</v>
      </c>
      <c r="E9" s="2" t="s">
        <v>43</v>
      </c>
      <c r="F9" s="2" t="s">
        <v>22</v>
      </c>
      <c r="G9" s="2">
        <v>20</v>
      </c>
      <c r="H9" s="2" t="s">
        <v>46</v>
      </c>
      <c r="I9" s="2">
        <v>12</v>
      </c>
      <c r="J9" s="2">
        <v>15</v>
      </c>
      <c r="K9" s="2">
        <v>0</v>
      </c>
      <c r="L9" s="2">
        <v>9</v>
      </c>
      <c r="M9" s="2">
        <v>9.8000000000000007</v>
      </c>
      <c r="N9" s="2">
        <v>0.8</v>
      </c>
      <c r="O9" s="3">
        <v>1</v>
      </c>
      <c r="P9" s="3">
        <v>1</v>
      </c>
      <c r="Q9" s="3">
        <v>1</v>
      </c>
      <c r="R9" s="2" t="s">
        <v>24</v>
      </c>
    </row>
    <row r="10" spans="1:18" x14ac:dyDescent="0.3">
      <c r="A10" s="1">
        <v>46039</v>
      </c>
      <c r="B10" s="2" t="s">
        <v>18</v>
      </c>
      <c r="C10" s="2" t="s">
        <v>47</v>
      </c>
      <c r="D10" s="2" t="s">
        <v>48</v>
      </c>
      <c r="E10" s="2" t="s">
        <v>49</v>
      </c>
      <c r="F10" s="2" t="s">
        <v>38</v>
      </c>
      <c r="G10" s="2">
        <v>22</v>
      </c>
      <c r="H10" s="2" t="s">
        <v>23</v>
      </c>
      <c r="I10" s="2">
        <v>19</v>
      </c>
      <c r="J10" s="2">
        <v>16</v>
      </c>
      <c r="K10" s="2">
        <v>30</v>
      </c>
      <c r="L10" s="2">
        <v>7</v>
      </c>
      <c r="M10" s="2">
        <v>6.5</v>
      </c>
      <c r="N10" s="2">
        <v>0</v>
      </c>
      <c r="O10" s="3">
        <v>0.86799999999999999</v>
      </c>
      <c r="P10" s="3">
        <v>0.91800000000000004</v>
      </c>
      <c r="Q10" s="3">
        <v>0.88800000000000001</v>
      </c>
      <c r="R10" s="2" t="s">
        <v>50</v>
      </c>
    </row>
    <row r="11" spans="1:18" x14ac:dyDescent="0.3">
      <c r="A11" s="1">
        <v>46041</v>
      </c>
      <c r="B11" s="2" t="s">
        <v>18</v>
      </c>
      <c r="C11" s="2" t="s">
        <v>51</v>
      </c>
      <c r="D11" s="2" t="s">
        <v>52</v>
      </c>
      <c r="E11" s="2" t="s">
        <v>49</v>
      </c>
      <c r="F11" s="2" t="s">
        <v>32</v>
      </c>
      <c r="G11" s="2">
        <v>20</v>
      </c>
      <c r="H11" s="2" t="s">
        <v>23</v>
      </c>
      <c r="I11" s="2">
        <v>9</v>
      </c>
      <c r="J11" s="2">
        <v>9</v>
      </c>
      <c r="K11" s="2">
        <v>40</v>
      </c>
      <c r="L11" s="2">
        <v>8</v>
      </c>
      <c r="M11" s="2">
        <v>8.6</v>
      </c>
      <c r="N11" s="2">
        <v>0.6</v>
      </c>
      <c r="O11" s="3">
        <v>0.99299999999999999</v>
      </c>
      <c r="P11" s="3">
        <v>1</v>
      </c>
      <c r="Q11" s="3">
        <v>0.996</v>
      </c>
      <c r="R11" s="2" t="s">
        <v>24</v>
      </c>
    </row>
    <row r="12" spans="1:18" x14ac:dyDescent="0.3">
      <c r="A12" s="1">
        <v>46045</v>
      </c>
      <c r="B12" s="2" t="s">
        <v>18</v>
      </c>
      <c r="C12" s="2" t="s">
        <v>53</v>
      </c>
      <c r="D12" s="2" t="s">
        <v>54</v>
      </c>
      <c r="E12" s="2" t="s">
        <v>55</v>
      </c>
      <c r="F12" s="2" t="s">
        <v>22</v>
      </c>
      <c r="G12" s="2">
        <v>22</v>
      </c>
      <c r="H12" s="2" t="s">
        <v>23</v>
      </c>
      <c r="I12" s="2">
        <v>17</v>
      </c>
      <c r="J12" s="2">
        <v>19</v>
      </c>
      <c r="K12" s="2">
        <v>0</v>
      </c>
      <c r="L12" s="2">
        <v>7</v>
      </c>
      <c r="M12" s="2">
        <v>6.5</v>
      </c>
      <c r="N12" s="2">
        <v>0</v>
      </c>
      <c r="O12" s="3">
        <v>1</v>
      </c>
      <c r="P12" s="3">
        <v>0.93400000000000005</v>
      </c>
      <c r="Q12" s="3">
        <v>0.97399999999999998</v>
      </c>
      <c r="R12" s="2" t="s">
        <v>24</v>
      </c>
    </row>
    <row r="13" spans="1:18" x14ac:dyDescent="0.3">
      <c r="A13" s="1">
        <v>46047</v>
      </c>
      <c r="B13" s="2" t="s">
        <v>18</v>
      </c>
      <c r="C13" s="2" t="s">
        <v>56</v>
      </c>
      <c r="D13" s="2" t="s">
        <v>57</v>
      </c>
      <c r="E13" s="2" t="s">
        <v>21</v>
      </c>
      <c r="F13" s="2" t="s">
        <v>38</v>
      </c>
      <c r="G13" s="2">
        <v>21</v>
      </c>
      <c r="H13" s="2" t="s">
        <v>23</v>
      </c>
      <c r="I13" s="2">
        <v>12</v>
      </c>
      <c r="J13" s="2">
        <v>14</v>
      </c>
      <c r="K13" s="2">
        <v>50</v>
      </c>
      <c r="L13" s="2">
        <v>9</v>
      </c>
      <c r="M13" s="2">
        <v>9.3000000000000007</v>
      </c>
      <c r="N13" s="2">
        <v>0.3</v>
      </c>
      <c r="O13" s="3">
        <v>1</v>
      </c>
      <c r="P13" s="3">
        <v>1</v>
      </c>
      <c r="Q13" s="3">
        <v>1</v>
      </c>
      <c r="R13" s="2" t="s">
        <v>24</v>
      </c>
    </row>
    <row r="14" spans="1:18" x14ac:dyDescent="0.3">
      <c r="A14" s="1">
        <v>46049</v>
      </c>
      <c r="B14" s="2" t="s">
        <v>18</v>
      </c>
      <c r="C14" s="2" t="s">
        <v>58</v>
      </c>
      <c r="D14" s="2" t="s">
        <v>59</v>
      </c>
      <c r="E14" s="2" t="s">
        <v>31</v>
      </c>
      <c r="F14" s="2" t="s">
        <v>27</v>
      </c>
      <c r="G14" s="2">
        <v>20</v>
      </c>
      <c r="H14" s="2" t="s">
        <v>23</v>
      </c>
      <c r="I14" s="2">
        <v>8</v>
      </c>
      <c r="J14" s="2">
        <v>11</v>
      </c>
      <c r="K14" s="2">
        <v>0</v>
      </c>
      <c r="L14" s="2">
        <v>8</v>
      </c>
      <c r="M14" s="2">
        <v>5.9</v>
      </c>
      <c r="N14" s="2">
        <v>0</v>
      </c>
      <c r="O14" s="3">
        <v>1</v>
      </c>
      <c r="P14" s="3">
        <v>0.89500000000000002</v>
      </c>
      <c r="Q14" s="3">
        <v>0.95799999999999996</v>
      </c>
      <c r="R14" s="2" t="s">
        <v>24</v>
      </c>
    </row>
    <row r="15" spans="1:18" x14ac:dyDescent="0.3">
      <c r="A15" s="1">
        <v>46051</v>
      </c>
      <c r="B15" s="2" t="s">
        <v>18</v>
      </c>
      <c r="C15" s="2" t="s">
        <v>60</v>
      </c>
      <c r="D15" s="2" t="s">
        <v>61</v>
      </c>
      <c r="E15" s="2" t="s">
        <v>37</v>
      </c>
      <c r="F15" s="2" t="s">
        <v>32</v>
      </c>
      <c r="G15" s="2">
        <v>22</v>
      </c>
      <c r="H15" s="2" t="s">
        <v>28</v>
      </c>
      <c r="I15" s="2">
        <v>13</v>
      </c>
      <c r="J15" s="2">
        <v>11</v>
      </c>
      <c r="K15" s="2">
        <v>2</v>
      </c>
      <c r="L15" s="2">
        <v>9</v>
      </c>
      <c r="M15" s="2">
        <v>7.1</v>
      </c>
      <c r="N15" s="2">
        <v>0</v>
      </c>
      <c r="O15" s="3">
        <v>0.84599999999999997</v>
      </c>
      <c r="P15" s="3">
        <v>0.92100000000000004</v>
      </c>
      <c r="Q15" s="3">
        <v>0.876</v>
      </c>
      <c r="R15" s="2" t="s">
        <v>50</v>
      </c>
    </row>
    <row r="16" spans="1:18" x14ac:dyDescent="0.3">
      <c r="A16" s="1">
        <v>46053</v>
      </c>
      <c r="B16" s="2" t="s">
        <v>18</v>
      </c>
      <c r="C16" s="2" t="s">
        <v>62</v>
      </c>
      <c r="D16" s="2" t="s">
        <v>63</v>
      </c>
      <c r="E16" s="2" t="s">
        <v>43</v>
      </c>
      <c r="F16" s="2" t="s">
        <v>38</v>
      </c>
      <c r="G16" s="2">
        <v>22</v>
      </c>
      <c r="H16" s="2" t="s">
        <v>23</v>
      </c>
      <c r="I16" s="2">
        <v>10</v>
      </c>
      <c r="J16" s="2">
        <v>9</v>
      </c>
      <c r="K16" s="2">
        <v>1</v>
      </c>
      <c r="L16" s="2">
        <v>7</v>
      </c>
      <c r="M16" s="2">
        <v>6.4</v>
      </c>
      <c r="N16" s="2">
        <v>0</v>
      </c>
      <c r="O16" s="3">
        <v>0.85899999999999999</v>
      </c>
      <c r="P16" s="3">
        <v>0.86299999999999999</v>
      </c>
      <c r="Q16" s="3">
        <v>0.86099999999999999</v>
      </c>
      <c r="R16" s="2" t="s">
        <v>50</v>
      </c>
    </row>
    <row r="17" spans="1:18" x14ac:dyDescent="0.3">
      <c r="A17" s="1">
        <v>46055</v>
      </c>
      <c r="B17" s="2" t="s">
        <v>64</v>
      </c>
      <c r="C17" s="2" t="s">
        <v>65</v>
      </c>
      <c r="D17" s="2" t="s">
        <v>66</v>
      </c>
      <c r="E17" s="2" t="s">
        <v>49</v>
      </c>
      <c r="F17" s="2" t="s">
        <v>22</v>
      </c>
      <c r="G17" s="2">
        <v>21</v>
      </c>
      <c r="H17" s="2" t="s">
        <v>28</v>
      </c>
      <c r="I17" s="2">
        <v>17</v>
      </c>
      <c r="J17" s="2">
        <v>17</v>
      </c>
      <c r="K17" s="2">
        <v>0</v>
      </c>
      <c r="L17" s="2">
        <v>9</v>
      </c>
      <c r="M17" s="2">
        <v>7.9</v>
      </c>
      <c r="N17" s="2">
        <v>0</v>
      </c>
      <c r="O17" s="3">
        <v>0.98399999999999999</v>
      </c>
      <c r="P17" s="3">
        <v>0.91200000000000003</v>
      </c>
      <c r="Q17" s="3">
        <v>0.95499999999999996</v>
      </c>
      <c r="R17" s="2" t="s">
        <v>24</v>
      </c>
    </row>
    <row r="18" spans="1:18" x14ac:dyDescent="0.3">
      <c r="A18" s="1">
        <v>46057</v>
      </c>
      <c r="B18" s="2" t="s">
        <v>64</v>
      </c>
      <c r="C18" s="2" t="s">
        <v>67</v>
      </c>
      <c r="D18" s="2" t="s">
        <v>68</v>
      </c>
      <c r="E18" s="2" t="s">
        <v>55</v>
      </c>
      <c r="F18" s="2" t="s">
        <v>32</v>
      </c>
      <c r="G18" s="2">
        <v>20</v>
      </c>
      <c r="H18" s="2" t="s">
        <v>46</v>
      </c>
      <c r="I18" s="2">
        <v>15</v>
      </c>
      <c r="J18" s="2">
        <v>12</v>
      </c>
      <c r="K18" s="2">
        <v>3</v>
      </c>
      <c r="L18" s="2">
        <v>7</v>
      </c>
      <c r="M18" s="2">
        <v>7.3</v>
      </c>
      <c r="N18" s="2">
        <v>0.3</v>
      </c>
      <c r="O18" s="3">
        <v>0.85799999999999998</v>
      </c>
      <c r="P18" s="3">
        <v>0.77200000000000002</v>
      </c>
      <c r="Q18" s="3">
        <v>0.82399999999999995</v>
      </c>
      <c r="R18" s="2" t="s">
        <v>50</v>
      </c>
    </row>
    <row r="19" spans="1:18" x14ac:dyDescent="0.3">
      <c r="A19" s="1">
        <v>46061</v>
      </c>
      <c r="B19" s="2" t="s">
        <v>64</v>
      </c>
      <c r="C19" s="2" t="s">
        <v>69</v>
      </c>
      <c r="D19" s="2" t="s">
        <v>70</v>
      </c>
      <c r="E19" s="2" t="s">
        <v>31</v>
      </c>
      <c r="F19" s="2" t="s">
        <v>38</v>
      </c>
      <c r="G19" s="2">
        <v>21</v>
      </c>
      <c r="H19" s="2" t="s">
        <v>46</v>
      </c>
      <c r="I19" s="2">
        <v>12</v>
      </c>
      <c r="J19" s="2">
        <v>13</v>
      </c>
      <c r="K19" s="2">
        <v>70</v>
      </c>
      <c r="L19" s="2">
        <v>7</v>
      </c>
      <c r="M19" s="2">
        <v>5.4</v>
      </c>
      <c r="N19" s="2">
        <v>0</v>
      </c>
      <c r="O19" s="3">
        <v>1</v>
      </c>
      <c r="P19" s="3">
        <v>0.90500000000000003</v>
      </c>
      <c r="Q19" s="3">
        <v>0.96199999999999997</v>
      </c>
      <c r="R19" s="2" t="s">
        <v>24</v>
      </c>
    </row>
    <row r="20" spans="1:18" x14ac:dyDescent="0.3">
      <c r="A20" s="1">
        <v>46063</v>
      </c>
      <c r="B20" s="2" t="s">
        <v>64</v>
      </c>
      <c r="C20" s="2" t="s">
        <v>19</v>
      </c>
      <c r="D20" s="2" t="s">
        <v>20</v>
      </c>
      <c r="E20" s="2" t="s">
        <v>21</v>
      </c>
      <c r="F20" s="2" t="s">
        <v>22</v>
      </c>
      <c r="G20" s="2">
        <v>22</v>
      </c>
      <c r="H20" s="2" t="s">
        <v>23</v>
      </c>
      <c r="I20" s="2">
        <v>20</v>
      </c>
      <c r="J20" s="2">
        <v>22</v>
      </c>
      <c r="K20" s="2">
        <v>0</v>
      </c>
      <c r="L20" s="2">
        <v>8</v>
      </c>
      <c r="M20" s="2">
        <v>9.6</v>
      </c>
      <c r="N20" s="2">
        <v>1.6</v>
      </c>
      <c r="O20" s="3">
        <v>1</v>
      </c>
      <c r="P20" s="3">
        <v>0.97599999999999998</v>
      </c>
      <c r="Q20" s="3">
        <v>0.99</v>
      </c>
      <c r="R20" s="2" t="s">
        <v>24</v>
      </c>
    </row>
    <row r="21" spans="1:18" x14ac:dyDescent="0.3">
      <c r="A21" s="1">
        <v>46065</v>
      </c>
      <c r="B21" s="2" t="s">
        <v>64</v>
      </c>
      <c r="C21" s="2" t="s">
        <v>25</v>
      </c>
      <c r="D21" s="2" t="s">
        <v>26</v>
      </c>
      <c r="E21" s="2" t="s">
        <v>21</v>
      </c>
      <c r="F21" s="2" t="s">
        <v>27</v>
      </c>
      <c r="G21" s="2">
        <v>21</v>
      </c>
      <c r="H21" s="2" t="s">
        <v>23</v>
      </c>
      <c r="I21" s="2">
        <v>19</v>
      </c>
      <c r="J21" s="2">
        <v>21</v>
      </c>
      <c r="K21" s="2">
        <v>0</v>
      </c>
      <c r="L21" s="2">
        <v>8</v>
      </c>
      <c r="M21" s="2">
        <v>7.8</v>
      </c>
      <c r="N21" s="2">
        <v>0</v>
      </c>
      <c r="O21" s="3">
        <v>1</v>
      </c>
      <c r="P21" s="3">
        <v>1</v>
      </c>
      <c r="Q21" s="3">
        <v>1</v>
      </c>
      <c r="R21" s="2" t="s">
        <v>24</v>
      </c>
    </row>
    <row r="22" spans="1:18" x14ac:dyDescent="0.3">
      <c r="A22" s="1">
        <v>46067</v>
      </c>
      <c r="B22" s="2" t="s">
        <v>64</v>
      </c>
      <c r="C22" s="2" t="s">
        <v>29</v>
      </c>
      <c r="D22" s="2" t="s">
        <v>30</v>
      </c>
      <c r="E22" s="2" t="s">
        <v>31</v>
      </c>
      <c r="F22" s="2" t="s">
        <v>32</v>
      </c>
      <c r="G22" s="2">
        <v>22</v>
      </c>
      <c r="H22" s="2" t="s">
        <v>23</v>
      </c>
      <c r="I22" s="2">
        <v>18</v>
      </c>
      <c r="J22" s="2">
        <v>17</v>
      </c>
      <c r="K22" s="2">
        <v>1</v>
      </c>
      <c r="L22" s="2">
        <v>9</v>
      </c>
      <c r="M22" s="2">
        <v>9.1</v>
      </c>
      <c r="N22" s="2">
        <v>0.1</v>
      </c>
      <c r="O22" s="3">
        <v>0.94599999999999995</v>
      </c>
      <c r="P22" s="3">
        <v>0.87</v>
      </c>
      <c r="Q22" s="3">
        <v>0.91600000000000004</v>
      </c>
      <c r="R22" s="2" t="s">
        <v>24</v>
      </c>
    </row>
    <row r="23" spans="1:18" x14ac:dyDescent="0.3">
      <c r="A23" s="1">
        <v>46069</v>
      </c>
      <c r="B23" s="2" t="s">
        <v>64</v>
      </c>
      <c r="C23" s="2" t="s">
        <v>33</v>
      </c>
      <c r="D23" s="2" t="s">
        <v>34</v>
      </c>
      <c r="E23" s="2" t="s">
        <v>31</v>
      </c>
      <c r="F23" s="2" t="s">
        <v>22</v>
      </c>
      <c r="G23" s="2">
        <v>21</v>
      </c>
      <c r="H23" s="2" t="s">
        <v>23</v>
      </c>
      <c r="I23" s="2">
        <v>16</v>
      </c>
      <c r="J23" s="2">
        <v>19</v>
      </c>
      <c r="K23" s="2">
        <v>0</v>
      </c>
      <c r="L23" s="2">
        <v>9</v>
      </c>
      <c r="M23" s="2">
        <v>7.4</v>
      </c>
      <c r="N23" s="2">
        <v>0</v>
      </c>
      <c r="O23" s="3">
        <v>1</v>
      </c>
      <c r="P23" s="3">
        <v>1</v>
      </c>
      <c r="Q23" s="3">
        <v>1</v>
      </c>
      <c r="R23" s="2" t="s">
        <v>24</v>
      </c>
    </row>
    <row r="24" spans="1:18" x14ac:dyDescent="0.3">
      <c r="A24" s="1">
        <v>46071</v>
      </c>
      <c r="B24" s="2" t="s">
        <v>64</v>
      </c>
      <c r="C24" s="2" t="s">
        <v>35</v>
      </c>
      <c r="D24" s="2" t="s">
        <v>36</v>
      </c>
      <c r="E24" s="2" t="s">
        <v>37</v>
      </c>
      <c r="F24" s="2" t="s">
        <v>38</v>
      </c>
      <c r="G24" s="2">
        <v>21</v>
      </c>
      <c r="H24" s="2" t="s">
        <v>23</v>
      </c>
      <c r="I24" s="2">
        <v>9</v>
      </c>
      <c r="J24" s="2">
        <v>8</v>
      </c>
      <c r="K24" s="2">
        <v>1</v>
      </c>
      <c r="L24" s="2">
        <v>8</v>
      </c>
      <c r="M24" s="2">
        <v>7.4</v>
      </c>
      <c r="N24" s="2">
        <v>0</v>
      </c>
      <c r="O24" s="3">
        <v>0.84699999999999998</v>
      </c>
      <c r="P24" s="3">
        <v>0.78</v>
      </c>
      <c r="Q24" s="3">
        <v>0.82</v>
      </c>
      <c r="R24" s="2" t="s">
        <v>50</v>
      </c>
    </row>
    <row r="25" spans="1:18" x14ac:dyDescent="0.3">
      <c r="A25" s="1">
        <v>46073</v>
      </c>
      <c r="B25" s="2" t="s">
        <v>64</v>
      </c>
      <c r="C25" s="2" t="s">
        <v>39</v>
      </c>
      <c r="D25" s="2" t="s">
        <v>40</v>
      </c>
      <c r="E25" s="2" t="s">
        <v>37</v>
      </c>
      <c r="F25" s="2" t="s">
        <v>27</v>
      </c>
      <c r="G25" s="2">
        <v>22</v>
      </c>
      <c r="H25" s="2" t="s">
        <v>23</v>
      </c>
      <c r="I25" s="2">
        <v>9</v>
      </c>
      <c r="J25" s="2">
        <v>11</v>
      </c>
      <c r="K25" s="2">
        <v>0</v>
      </c>
      <c r="L25" s="2">
        <v>8</v>
      </c>
      <c r="M25" s="2">
        <v>8.1</v>
      </c>
      <c r="N25" s="2">
        <v>0.1</v>
      </c>
      <c r="O25" s="3">
        <v>1</v>
      </c>
      <c r="P25" s="3">
        <v>1</v>
      </c>
      <c r="Q25" s="3">
        <v>1</v>
      </c>
      <c r="R25" s="2" t="s">
        <v>24</v>
      </c>
    </row>
    <row r="26" spans="1:18" x14ac:dyDescent="0.3">
      <c r="A26" s="1">
        <v>46075</v>
      </c>
      <c r="B26" s="2" t="s">
        <v>64</v>
      </c>
      <c r="C26" s="2" t="s">
        <v>41</v>
      </c>
      <c r="D26" s="2" t="s">
        <v>42</v>
      </c>
      <c r="E26" s="2" t="s">
        <v>43</v>
      </c>
      <c r="F26" s="2" t="s">
        <v>32</v>
      </c>
      <c r="G26" s="2">
        <v>22</v>
      </c>
      <c r="H26" s="2" t="s">
        <v>23</v>
      </c>
      <c r="I26" s="2">
        <v>10</v>
      </c>
      <c r="J26" s="2">
        <v>12</v>
      </c>
      <c r="K26" s="2">
        <v>0</v>
      </c>
      <c r="L26" s="2">
        <v>8</v>
      </c>
      <c r="M26" s="2">
        <v>6.7</v>
      </c>
      <c r="N26" s="2">
        <v>0</v>
      </c>
      <c r="O26" s="3">
        <v>1</v>
      </c>
      <c r="P26" s="3">
        <v>0.91600000000000004</v>
      </c>
      <c r="Q26" s="3">
        <v>0.96599999999999997</v>
      </c>
      <c r="R26" s="2" t="s">
        <v>24</v>
      </c>
    </row>
    <row r="27" spans="1:18" x14ac:dyDescent="0.3">
      <c r="A27" s="1">
        <v>46077</v>
      </c>
      <c r="B27" s="2" t="s">
        <v>64</v>
      </c>
      <c r="C27" s="2" t="s">
        <v>44</v>
      </c>
      <c r="D27" s="2" t="s">
        <v>45</v>
      </c>
      <c r="E27" s="2" t="s">
        <v>43</v>
      </c>
      <c r="F27" s="2" t="s">
        <v>22</v>
      </c>
      <c r="G27" s="2">
        <v>22</v>
      </c>
      <c r="H27" s="2" t="s">
        <v>46</v>
      </c>
      <c r="I27" s="2">
        <v>14</v>
      </c>
      <c r="J27" s="2">
        <v>12</v>
      </c>
      <c r="K27" s="2">
        <v>2</v>
      </c>
      <c r="L27" s="2">
        <v>9</v>
      </c>
      <c r="M27" s="2">
        <v>9.4</v>
      </c>
      <c r="N27" s="2">
        <v>0.4</v>
      </c>
      <c r="O27" s="3">
        <v>0.89800000000000002</v>
      </c>
      <c r="P27" s="3">
        <v>0.93</v>
      </c>
      <c r="Q27" s="3">
        <v>0.91100000000000003</v>
      </c>
      <c r="R27" s="2" t="s">
        <v>24</v>
      </c>
    </row>
    <row r="28" spans="1:18" x14ac:dyDescent="0.3">
      <c r="A28" s="1">
        <v>46081</v>
      </c>
      <c r="B28" s="2" t="s">
        <v>64</v>
      </c>
      <c r="C28" s="2" t="s">
        <v>51</v>
      </c>
      <c r="D28" s="2" t="s">
        <v>52</v>
      </c>
      <c r="E28" s="2" t="s">
        <v>49</v>
      </c>
      <c r="F28" s="2" t="s">
        <v>32</v>
      </c>
      <c r="G28" s="2">
        <v>21</v>
      </c>
      <c r="H28" s="2" t="s">
        <v>23</v>
      </c>
      <c r="I28" s="2">
        <v>11</v>
      </c>
      <c r="J28" s="2">
        <v>9</v>
      </c>
      <c r="K28" s="2">
        <v>2</v>
      </c>
      <c r="L28" s="2">
        <v>7</v>
      </c>
      <c r="M28" s="2">
        <v>6.7</v>
      </c>
      <c r="N28" s="2">
        <v>0</v>
      </c>
      <c r="O28" s="3">
        <v>0.79200000000000004</v>
      </c>
      <c r="P28" s="3">
        <v>0.80100000000000005</v>
      </c>
      <c r="Q28" s="3">
        <v>0.79600000000000004</v>
      </c>
      <c r="R28" s="2" t="s">
        <v>50</v>
      </c>
    </row>
    <row r="29" spans="1:18" x14ac:dyDescent="0.3">
      <c r="A29" s="1">
        <v>46083</v>
      </c>
      <c r="B29" s="2" t="s">
        <v>71</v>
      </c>
      <c r="C29" s="2" t="s">
        <v>72</v>
      </c>
      <c r="D29" s="2" t="s">
        <v>73</v>
      </c>
      <c r="E29" s="2" t="s">
        <v>55</v>
      </c>
      <c r="F29" s="2" t="s">
        <v>27</v>
      </c>
      <c r="G29" s="2">
        <v>20</v>
      </c>
      <c r="H29" s="2" t="s">
        <v>46</v>
      </c>
      <c r="I29" s="2">
        <v>11</v>
      </c>
      <c r="J29" s="2">
        <v>8</v>
      </c>
      <c r="K29" s="2">
        <v>3</v>
      </c>
      <c r="L29" s="2">
        <v>7</v>
      </c>
      <c r="M29" s="2">
        <v>6.3</v>
      </c>
      <c r="N29" s="2">
        <v>0</v>
      </c>
      <c r="O29" s="3">
        <v>0.76100000000000001</v>
      </c>
      <c r="P29" s="3">
        <v>0.65400000000000003</v>
      </c>
      <c r="Q29" s="3">
        <v>0.71799999999999997</v>
      </c>
      <c r="R29" s="2" t="s">
        <v>74</v>
      </c>
    </row>
    <row r="30" spans="1:18" x14ac:dyDescent="0.3">
      <c r="A30" s="1">
        <v>46085</v>
      </c>
      <c r="B30" s="2" t="s">
        <v>71</v>
      </c>
      <c r="C30" s="2" t="s">
        <v>53</v>
      </c>
      <c r="D30" s="2" t="s">
        <v>54</v>
      </c>
      <c r="E30" s="2" t="s">
        <v>55</v>
      </c>
      <c r="F30" s="2" t="s">
        <v>22</v>
      </c>
      <c r="G30" s="2">
        <v>20</v>
      </c>
      <c r="H30" s="2" t="s">
        <v>23</v>
      </c>
      <c r="I30" s="2">
        <v>13</v>
      </c>
      <c r="J30" s="2">
        <v>10</v>
      </c>
      <c r="K30" s="2">
        <v>3</v>
      </c>
      <c r="L30" s="2">
        <v>9</v>
      </c>
      <c r="M30" s="2">
        <v>11</v>
      </c>
      <c r="N30" s="2">
        <v>2</v>
      </c>
      <c r="O30" s="3">
        <v>0.72699999999999998</v>
      </c>
      <c r="P30" s="3">
        <v>0.754</v>
      </c>
      <c r="Q30" s="3">
        <v>0.73799999999999999</v>
      </c>
      <c r="R30" s="2" t="s">
        <v>74</v>
      </c>
    </row>
    <row r="31" spans="1:18" x14ac:dyDescent="0.3">
      <c r="A31" s="1">
        <v>46087</v>
      </c>
      <c r="B31" s="2" t="s">
        <v>71</v>
      </c>
      <c r="C31" s="2" t="s">
        <v>56</v>
      </c>
      <c r="D31" s="2" t="s">
        <v>57</v>
      </c>
      <c r="E31" s="2" t="s">
        <v>21</v>
      </c>
      <c r="F31" s="2" t="s">
        <v>38</v>
      </c>
      <c r="G31" s="2">
        <v>20</v>
      </c>
      <c r="H31" s="2" t="s">
        <v>46</v>
      </c>
      <c r="I31" s="2">
        <v>10</v>
      </c>
      <c r="J31" s="2">
        <v>12</v>
      </c>
      <c r="K31" s="2">
        <v>0</v>
      </c>
      <c r="L31" s="2">
        <v>9</v>
      </c>
      <c r="M31" s="2">
        <v>9</v>
      </c>
      <c r="N31" s="2">
        <v>0</v>
      </c>
      <c r="O31" s="3">
        <v>1</v>
      </c>
      <c r="P31" s="3">
        <v>0.93300000000000005</v>
      </c>
      <c r="Q31" s="3">
        <v>0.97299999999999998</v>
      </c>
      <c r="R31" s="2" t="s">
        <v>24</v>
      </c>
    </row>
    <row r="32" spans="1:18" x14ac:dyDescent="0.3">
      <c r="A32" s="1">
        <v>46089</v>
      </c>
      <c r="B32" s="2" t="s">
        <v>71</v>
      </c>
      <c r="C32" s="2" t="s">
        <v>58</v>
      </c>
      <c r="D32" s="2" t="s">
        <v>59</v>
      </c>
      <c r="E32" s="2" t="s">
        <v>31</v>
      </c>
      <c r="F32" s="2" t="s">
        <v>27</v>
      </c>
      <c r="G32" s="2">
        <v>21</v>
      </c>
      <c r="H32" s="2" t="s">
        <v>23</v>
      </c>
      <c r="I32" s="2">
        <v>11</v>
      </c>
      <c r="J32" s="2">
        <v>8</v>
      </c>
      <c r="K32" s="2">
        <v>50</v>
      </c>
      <c r="L32" s="2">
        <v>7</v>
      </c>
      <c r="M32" s="2">
        <v>5.8</v>
      </c>
      <c r="N32" s="2">
        <v>0</v>
      </c>
      <c r="O32" s="3">
        <v>0.753</v>
      </c>
      <c r="P32" s="3">
        <v>0.71099999999999997</v>
      </c>
      <c r="Q32" s="3">
        <v>0.73599999999999999</v>
      </c>
      <c r="R32" s="2" t="s">
        <v>74</v>
      </c>
    </row>
    <row r="33" spans="1:18" x14ac:dyDescent="0.3">
      <c r="A33" s="1">
        <v>46091</v>
      </c>
      <c r="B33" s="2" t="s">
        <v>71</v>
      </c>
      <c r="C33" s="2" t="s">
        <v>60</v>
      </c>
      <c r="D33" s="2" t="s">
        <v>61</v>
      </c>
      <c r="E33" s="2" t="s">
        <v>37</v>
      </c>
      <c r="F33" s="2" t="s">
        <v>32</v>
      </c>
      <c r="G33" s="2">
        <v>21</v>
      </c>
      <c r="H33" s="2" t="s">
        <v>23</v>
      </c>
      <c r="I33" s="2">
        <v>19</v>
      </c>
      <c r="J33" s="2">
        <v>16</v>
      </c>
      <c r="K33" s="2">
        <v>3</v>
      </c>
      <c r="L33" s="2">
        <v>9</v>
      </c>
      <c r="M33" s="2">
        <v>9.9</v>
      </c>
      <c r="N33" s="2">
        <v>0.9</v>
      </c>
      <c r="O33" s="3">
        <v>0.86699999999999999</v>
      </c>
      <c r="P33" s="3">
        <v>0.88900000000000001</v>
      </c>
      <c r="Q33" s="3">
        <v>0.876</v>
      </c>
      <c r="R33" s="2" t="s">
        <v>50</v>
      </c>
    </row>
    <row r="34" spans="1:18" x14ac:dyDescent="0.3">
      <c r="A34" s="1">
        <v>46093</v>
      </c>
      <c r="B34" s="2" t="s">
        <v>71</v>
      </c>
      <c r="C34" s="2" t="s">
        <v>62</v>
      </c>
      <c r="D34" s="2" t="s">
        <v>63</v>
      </c>
      <c r="E34" s="2" t="s">
        <v>43</v>
      </c>
      <c r="F34" s="2" t="s">
        <v>38</v>
      </c>
      <c r="G34" s="2">
        <v>20</v>
      </c>
      <c r="H34" s="2" t="s">
        <v>23</v>
      </c>
      <c r="I34" s="2">
        <v>19</v>
      </c>
      <c r="J34" s="2">
        <v>18</v>
      </c>
      <c r="K34" s="2">
        <v>1</v>
      </c>
      <c r="L34" s="2">
        <v>7</v>
      </c>
      <c r="M34" s="2">
        <v>5.7</v>
      </c>
      <c r="N34" s="2">
        <v>0</v>
      </c>
      <c r="O34" s="3">
        <v>0.90700000000000003</v>
      </c>
      <c r="P34" s="3">
        <v>0.82899999999999996</v>
      </c>
      <c r="Q34" s="3">
        <v>0.876</v>
      </c>
      <c r="R34" s="2" t="s">
        <v>50</v>
      </c>
    </row>
    <row r="35" spans="1:18" x14ac:dyDescent="0.3">
      <c r="A35" s="1">
        <v>46095</v>
      </c>
      <c r="B35" s="2" t="s">
        <v>71</v>
      </c>
      <c r="C35" s="2" t="s">
        <v>65</v>
      </c>
      <c r="D35" s="2" t="s">
        <v>66</v>
      </c>
      <c r="E35" s="2" t="s">
        <v>49</v>
      </c>
      <c r="F35" s="2" t="s">
        <v>22</v>
      </c>
      <c r="G35" s="2">
        <v>21</v>
      </c>
      <c r="H35" s="2" t="s">
        <v>23</v>
      </c>
      <c r="I35" s="2">
        <v>14</v>
      </c>
      <c r="J35" s="2">
        <v>12</v>
      </c>
      <c r="K35" s="2">
        <v>2</v>
      </c>
      <c r="L35" s="2">
        <v>8</v>
      </c>
      <c r="M35" s="2">
        <v>8.1999999999999993</v>
      </c>
      <c r="N35" s="2">
        <v>0.2</v>
      </c>
      <c r="O35" s="3">
        <v>0.85099999999999998</v>
      </c>
      <c r="P35" s="3">
        <v>0.92300000000000004</v>
      </c>
      <c r="Q35" s="3">
        <v>0.88</v>
      </c>
      <c r="R35" s="2" t="s">
        <v>50</v>
      </c>
    </row>
    <row r="36" spans="1:18" x14ac:dyDescent="0.3">
      <c r="A36" s="1">
        <v>46097</v>
      </c>
      <c r="B36" s="2" t="s">
        <v>71</v>
      </c>
      <c r="C36" s="2" t="s">
        <v>67</v>
      </c>
      <c r="D36" s="2" t="s">
        <v>68</v>
      </c>
      <c r="E36" s="2" t="s">
        <v>55</v>
      </c>
      <c r="F36" s="2" t="s">
        <v>32</v>
      </c>
      <c r="G36" s="2">
        <v>20</v>
      </c>
      <c r="H36" s="2" t="s">
        <v>23</v>
      </c>
      <c r="I36" s="2">
        <v>20</v>
      </c>
      <c r="J36" s="2">
        <v>23</v>
      </c>
      <c r="K36" s="2">
        <v>0</v>
      </c>
      <c r="L36" s="2">
        <v>9</v>
      </c>
      <c r="M36" s="2">
        <v>6.8</v>
      </c>
      <c r="N36" s="2">
        <v>0</v>
      </c>
      <c r="O36" s="3">
        <v>1</v>
      </c>
      <c r="P36" s="3">
        <v>1</v>
      </c>
      <c r="Q36" s="3">
        <v>1</v>
      </c>
      <c r="R36" s="2" t="s">
        <v>24</v>
      </c>
    </row>
    <row r="37" spans="1:18" x14ac:dyDescent="0.3">
      <c r="A37" s="1">
        <v>46101</v>
      </c>
      <c r="B37" s="2" t="s">
        <v>71</v>
      </c>
      <c r="C37" s="2" t="s">
        <v>69</v>
      </c>
      <c r="D37" s="2" t="s">
        <v>70</v>
      </c>
      <c r="E37" s="2" t="s">
        <v>31</v>
      </c>
      <c r="F37" s="2" t="s">
        <v>38</v>
      </c>
      <c r="G37" s="2">
        <v>20</v>
      </c>
      <c r="H37" s="2" t="s">
        <v>23</v>
      </c>
      <c r="I37" s="2">
        <v>8</v>
      </c>
      <c r="J37" s="2">
        <v>6</v>
      </c>
      <c r="K37" s="2">
        <v>2</v>
      </c>
      <c r="L37" s="2">
        <v>8</v>
      </c>
      <c r="M37" s="2">
        <v>8.1999999999999993</v>
      </c>
      <c r="N37" s="2">
        <v>0.2</v>
      </c>
      <c r="O37" s="3">
        <v>0.67</v>
      </c>
      <c r="P37" s="3">
        <v>0.63600000000000001</v>
      </c>
      <c r="Q37" s="3">
        <v>0.65600000000000003</v>
      </c>
      <c r="R37" s="2" t="s">
        <v>74</v>
      </c>
    </row>
    <row r="38" spans="1:18" x14ac:dyDescent="0.3">
      <c r="A38" s="1">
        <v>46103</v>
      </c>
      <c r="B38" s="2" t="s">
        <v>71</v>
      </c>
      <c r="C38" s="2" t="s">
        <v>19</v>
      </c>
      <c r="D38" s="2" t="s">
        <v>20</v>
      </c>
      <c r="E38" s="2" t="s">
        <v>21</v>
      </c>
      <c r="F38" s="2" t="s">
        <v>22</v>
      </c>
      <c r="G38" s="2">
        <v>21</v>
      </c>
      <c r="H38" s="2" t="s">
        <v>23</v>
      </c>
      <c r="I38" s="2">
        <v>14</v>
      </c>
      <c r="J38" s="2">
        <v>16</v>
      </c>
      <c r="K38" s="2">
        <v>0</v>
      </c>
      <c r="L38" s="2">
        <v>9</v>
      </c>
      <c r="M38" s="2">
        <v>9.8000000000000007</v>
      </c>
      <c r="N38" s="2">
        <v>0.8</v>
      </c>
      <c r="O38" s="3">
        <v>1</v>
      </c>
      <c r="P38" s="3">
        <v>1</v>
      </c>
      <c r="Q38" s="3">
        <v>1</v>
      </c>
      <c r="R38" s="2" t="s">
        <v>24</v>
      </c>
    </row>
    <row r="39" spans="1:18" x14ac:dyDescent="0.3">
      <c r="A39" s="1">
        <v>46105</v>
      </c>
      <c r="B39" s="2" t="s">
        <v>71</v>
      </c>
      <c r="C39" s="2" t="s">
        <v>25</v>
      </c>
      <c r="D39" s="2" t="s">
        <v>26</v>
      </c>
      <c r="E39" s="2" t="s">
        <v>21</v>
      </c>
      <c r="F39" s="2" t="s">
        <v>27</v>
      </c>
      <c r="G39" s="2">
        <v>22</v>
      </c>
      <c r="H39" s="2" t="s">
        <v>23</v>
      </c>
      <c r="I39" s="2">
        <v>10</v>
      </c>
      <c r="J39" s="2">
        <v>8</v>
      </c>
      <c r="K39" s="2">
        <v>2</v>
      </c>
      <c r="L39" s="2">
        <v>8</v>
      </c>
      <c r="M39" s="2">
        <v>8.1999999999999993</v>
      </c>
      <c r="N39" s="2">
        <v>0.2</v>
      </c>
      <c r="O39" s="3">
        <v>0.755</v>
      </c>
      <c r="P39" s="3">
        <v>0.64800000000000002</v>
      </c>
      <c r="Q39" s="3">
        <v>0.71199999999999997</v>
      </c>
      <c r="R39" s="2" t="s">
        <v>74</v>
      </c>
    </row>
    <row r="40" spans="1:18" x14ac:dyDescent="0.3">
      <c r="A40" s="1">
        <v>46107</v>
      </c>
      <c r="B40" s="2" t="s">
        <v>71</v>
      </c>
      <c r="C40" s="2" t="s">
        <v>29</v>
      </c>
      <c r="D40" s="2" t="s">
        <v>30</v>
      </c>
      <c r="E40" s="2" t="s">
        <v>31</v>
      </c>
      <c r="F40" s="2" t="s">
        <v>32</v>
      </c>
      <c r="G40" s="2">
        <v>22</v>
      </c>
      <c r="H40" s="2" t="s">
        <v>46</v>
      </c>
      <c r="I40" s="2">
        <v>8</v>
      </c>
      <c r="J40" s="2">
        <v>10</v>
      </c>
      <c r="K40" s="2">
        <v>0</v>
      </c>
      <c r="L40" s="2">
        <v>8</v>
      </c>
      <c r="M40" s="2">
        <v>7.9</v>
      </c>
      <c r="N40" s="2">
        <v>0</v>
      </c>
      <c r="O40" s="3">
        <v>1</v>
      </c>
      <c r="P40" s="3">
        <v>1</v>
      </c>
      <c r="Q40" s="3">
        <v>1</v>
      </c>
      <c r="R40" s="2" t="s">
        <v>24</v>
      </c>
    </row>
    <row r="41" spans="1:18" x14ac:dyDescent="0.3">
      <c r="A41" s="1">
        <v>46109</v>
      </c>
      <c r="B41" s="2" t="s">
        <v>71</v>
      </c>
      <c r="C41" s="2" t="s">
        <v>33</v>
      </c>
      <c r="D41" s="2" t="s">
        <v>34</v>
      </c>
      <c r="E41" s="2" t="s">
        <v>31</v>
      </c>
      <c r="F41" s="2" t="s">
        <v>22</v>
      </c>
      <c r="G41" s="2">
        <v>22</v>
      </c>
      <c r="H41" s="2" t="s">
        <v>46</v>
      </c>
      <c r="I41" s="2">
        <v>10</v>
      </c>
      <c r="J41" s="2">
        <v>7</v>
      </c>
      <c r="K41" s="2">
        <v>3</v>
      </c>
      <c r="L41" s="2">
        <v>9</v>
      </c>
      <c r="M41" s="2">
        <v>8.6999999999999993</v>
      </c>
      <c r="N41" s="2">
        <v>0</v>
      </c>
      <c r="O41" s="3">
        <v>0.63300000000000001</v>
      </c>
      <c r="P41" s="3">
        <v>0.55400000000000005</v>
      </c>
      <c r="Q41" s="3">
        <v>0.60099999999999998</v>
      </c>
      <c r="R41" s="2" t="s">
        <v>74</v>
      </c>
    </row>
    <row r="42" spans="1:18" x14ac:dyDescent="0.3">
      <c r="A42" s="1">
        <v>46111</v>
      </c>
      <c r="B42" s="2" t="s">
        <v>71</v>
      </c>
      <c r="C42" s="2" t="s">
        <v>35</v>
      </c>
      <c r="D42" s="2" t="s">
        <v>36</v>
      </c>
      <c r="E42" s="2" t="s">
        <v>37</v>
      </c>
      <c r="F42" s="2" t="s">
        <v>38</v>
      </c>
      <c r="G42" s="2">
        <v>22</v>
      </c>
      <c r="H42" s="2" t="s">
        <v>23</v>
      </c>
      <c r="I42" s="2">
        <v>18</v>
      </c>
      <c r="J42" s="2">
        <v>21</v>
      </c>
      <c r="K42" s="2">
        <v>0</v>
      </c>
      <c r="L42" s="2">
        <v>7</v>
      </c>
      <c r="M42" s="2">
        <v>5.4</v>
      </c>
      <c r="N42" s="2">
        <v>0</v>
      </c>
      <c r="O42" s="3">
        <v>1</v>
      </c>
      <c r="P42" s="3">
        <v>1</v>
      </c>
      <c r="Q42" s="3">
        <v>1</v>
      </c>
      <c r="R42" s="2" t="s">
        <v>24</v>
      </c>
    </row>
    <row r="43" spans="1:18" x14ac:dyDescent="0.3">
      <c r="A43" s="1">
        <v>46113</v>
      </c>
      <c r="B43" s="2" t="s">
        <v>75</v>
      </c>
      <c r="C43" s="2" t="s">
        <v>39</v>
      </c>
      <c r="D43" s="2" t="s">
        <v>40</v>
      </c>
      <c r="E43" s="2" t="s">
        <v>37</v>
      </c>
      <c r="F43" s="2" t="s">
        <v>27</v>
      </c>
      <c r="G43" s="2">
        <v>22</v>
      </c>
      <c r="H43" s="2" t="s">
        <v>23</v>
      </c>
      <c r="I43" s="2">
        <v>17</v>
      </c>
      <c r="J43" s="2">
        <v>18</v>
      </c>
      <c r="K43" s="2">
        <v>0</v>
      </c>
      <c r="L43" s="2">
        <v>7</v>
      </c>
      <c r="M43" s="2">
        <v>6.2</v>
      </c>
      <c r="N43" s="2">
        <v>0</v>
      </c>
      <c r="O43" s="3">
        <v>1</v>
      </c>
      <c r="P43" s="3">
        <v>0.97199999999999998</v>
      </c>
      <c r="Q43" s="3">
        <v>0.98899999999999999</v>
      </c>
      <c r="R43" s="2" t="s">
        <v>24</v>
      </c>
    </row>
    <row r="44" spans="1:18" x14ac:dyDescent="0.3">
      <c r="A44" s="1">
        <v>46117</v>
      </c>
      <c r="B44" s="2" t="s">
        <v>75</v>
      </c>
      <c r="C44" s="2" t="s">
        <v>44</v>
      </c>
      <c r="D44" s="2" t="s">
        <v>45</v>
      </c>
      <c r="E44" s="2" t="s">
        <v>43</v>
      </c>
      <c r="F44" s="2" t="s">
        <v>22</v>
      </c>
      <c r="G44" s="2">
        <v>20</v>
      </c>
      <c r="H44" s="2" t="s">
        <v>23</v>
      </c>
      <c r="I44" s="2">
        <v>14</v>
      </c>
      <c r="J44" s="2">
        <v>12</v>
      </c>
      <c r="K44" s="2">
        <v>2</v>
      </c>
      <c r="L44" s="2">
        <v>9</v>
      </c>
      <c r="M44" s="2">
        <v>10.199999999999999</v>
      </c>
      <c r="N44" s="2">
        <v>1.2</v>
      </c>
      <c r="O44" s="3">
        <v>0.88</v>
      </c>
      <c r="P44" s="3">
        <v>0.86099999999999999</v>
      </c>
      <c r="Q44" s="3">
        <v>0.872</v>
      </c>
      <c r="R44" s="2" t="s">
        <v>50</v>
      </c>
    </row>
    <row r="45" spans="1:18" x14ac:dyDescent="0.3">
      <c r="A45" s="1">
        <v>46119</v>
      </c>
      <c r="B45" s="2" t="s">
        <v>75</v>
      </c>
      <c r="C45" s="2" t="s">
        <v>47</v>
      </c>
      <c r="D45" s="2" t="s">
        <v>48</v>
      </c>
      <c r="E45" s="2" t="s">
        <v>49</v>
      </c>
      <c r="F45" s="2" t="s">
        <v>38</v>
      </c>
      <c r="G45" s="2">
        <v>20</v>
      </c>
      <c r="H45" s="2" t="s">
        <v>23</v>
      </c>
      <c r="I45" s="2">
        <v>15</v>
      </c>
      <c r="J45" s="2">
        <v>16</v>
      </c>
      <c r="K45" s="2">
        <v>0</v>
      </c>
      <c r="L45" s="2">
        <v>9</v>
      </c>
      <c r="M45" s="2">
        <v>9.4</v>
      </c>
      <c r="N45" s="2">
        <v>0.4</v>
      </c>
      <c r="O45" s="3">
        <v>1</v>
      </c>
      <c r="P45" s="3">
        <v>0.89600000000000002</v>
      </c>
      <c r="Q45" s="3">
        <v>0.95799999999999996</v>
      </c>
      <c r="R45" s="2" t="s">
        <v>24</v>
      </c>
    </row>
    <row r="46" spans="1:18" x14ac:dyDescent="0.3">
      <c r="A46" s="1">
        <v>46121</v>
      </c>
      <c r="B46" s="2" t="s">
        <v>75</v>
      </c>
      <c r="C46" s="2" t="s">
        <v>51</v>
      </c>
      <c r="D46" s="2" t="s">
        <v>52</v>
      </c>
      <c r="E46" s="2" t="s">
        <v>49</v>
      </c>
      <c r="F46" s="2" t="s">
        <v>32</v>
      </c>
      <c r="G46" s="2">
        <v>20</v>
      </c>
      <c r="H46" s="2" t="s">
        <v>46</v>
      </c>
      <c r="I46" s="2">
        <v>12</v>
      </c>
      <c r="J46" s="2">
        <v>10</v>
      </c>
      <c r="K46" s="2">
        <v>2</v>
      </c>
      <c r="L46" s="2">
        <v>8</v>
      </c>
      <c r="M46" s="2">
        <v>6.1</v>
      </c>
      <c r="N46" s="2">
        <v>0</v>
      </c>
      <c r="O46" s="3">
        <v>0.89400000000000002</v>
      </c>
      <c r="P46" s="3">
        <v>0.96699999999999997</v>
      </c>
      <c r="Q46" s="3">
        <v>0.92300000000000004</v>
      </c>
      <c r="R46" s="2" t="s">
        <v>24</v>
      </c>
    </row>
    <row r="47" spans="1:18" x14ac:dyDescent="0.3">
      <c r="A47" s="1">
        <v>46123</v>
      </c>
      <c r="B47" s="2" t="s">
        <v>75</v>
      </c>
      <c r="C47" s="2" t="s">
        <v>72</v>
      </c>
      <c r="D47" s="2" t="s">
        <v>73</v>
      </c>
      <c r="E47" s="2" t="s">
        <v>55</v>
      </c>
      <c r="F47" s="2" t="s">
        <v>27</v>
      </c>
      <c r="G47" s="2">
        <v>21</v>
      </c>
      <c r="H47" s="2" t="s">
        <v>23</v>
      </c>
      <c r="I47" s="2">
        <v>10</v>
      </c>
      <c r="J47" s="2">
        <v>10</v>
      </c>
      <c r="K47" s="2">
        <v>0</v>
      </c>
      <c r="L47" s="2">
        <v>9</v>
      </c>
      <c r="M47" s="2">
        <v>9.4</v>
      </c>
      <c r="N47" s="2">
        <v>0.4</v>
      </c>
      <c r="O47" s="3">
        <v>1</v>
      </c>
      <c r="P47" s="3">
        <v>1</v>
      </c>
      <c r="Q47" s="3">
        <v>1</v>
      </c>
      <c r="R47" s="2" t="s">
        <v>24</v>
      </c>
    </row>
    <row r="48" spans="1:18" x14ac:dyDescent="0.3">
      <c r="A48" s="1">
        <v>46125</v>
      </c>
      <c r="B48" s="2" t="s">
        <v>75</v>
      </c>
      <c r="C48" s="2" t="s">
        <v>53</v>
      </c>
      <c r="D48" s="2" t="s">
        <v>54</v>
      </c>
      <c r="E48" s="2" t="s">
        <v>55</v>
      </c>
      <c r="F48" s="2" t="s">
        <v>22</v>
      </c>
      <c r="G48" s="2">
        <v>22</v>
      </c>
      <c r="H48" s="2" t="s">
        <v>46</v>
      </c>
      <c r="I48" s="2">
        <v>8</v>
      </c>
      <c r="J48" s="2">
        <v>10</v>
      </c>
      <c r="K48" s="2">
        <v>0</v>
      </c>
      <c r="L48" s="2">
        <v>9</v>
      </c>
      <c r="M48" s="2">
        <v>8.6</v>
      </c>
      <c r="N48" s="2">
        <v>0</v>
      </c>
      <c r="O48" s="3">
        <v>1</v>
      </c>
      <c r="P48" s="3">
        <v>1</v>
      </c>
      <c r="Q48" s="3">
        <v>1</v>
      </c>
      <c r="R48" s="2" t="s">
        <v>24</v>
      </c>
    </row>
    <row r="49" spans="1:18" x14ac:dyDescent="0.3">
      <c r="A49" s="1">
        <v>46127</v>
      </c>
      <c r="B49" s="2" t="s">
        <v>75</v>
      </c>
      <c r="C49" s="2" t="s">
        <v>56</v>
      </c>
      <c r="D49" s="2" t="s">
        <v>57</v>
      </c>
      <c r="E49" s="2" t="s">
        <v>21</v>
      </c>
      <c r="F49" s="2" t="s">
        <v>38</v>
      </c>
      <c r="G49" s="2">
        <v>20</v>
      </c>
      <c r="H49" s="2" t="s">
        <v>23</v>
      </c>
      <c r="I49" s="2">
        <v>9</v>
      </c>
      <c r="J49" s="2">
        <v>6</v>
      </c>
      <c r="K49" s="2">
        <v>70</v>
      </c>
      <c r="L49" s="2">
        <v>9</v>
      </c>
      <c r="M49" s="2">
        <v>8.3000000000000007</v>
      </c>
      <c r="N49" s="2">
        <v>0</v>
      </c>
      <c r="O49" s="3">
        <v>0.67500000000000004</v>
      </c>
      <c r="P49" s="3">
        <v>0.61499999999999999</v>
      </c>
      <c r="Q49" s="3">
        <v>0.65100000000000002</v>
      </c>
      <c r="R49" s="2" t="s">
        <v>74</v>
      </c>
    </row>
    <row r="50" spans="1:18" x14ac:dyDescent="0.3">
      <c r="A50" s="1">
        <v>46131</v>
      </c>
      <c r="B50" s="2" t="s">
        <v>75</v>
      </c>
      <c r="C50" s="2" t="s">
        <v>60</v>
      </c>
      <c r="D50" s="2" t="s">
        <v>61</v>
      </c>
      <c r="E50" s="2" t="s">
        <v>37</v>
      </c>
      <c r="F50" s="2" t="s">
        <v>32</v>
      </c>
      <c r="G50" s="2">
        <v>22</v>
      </c>
      <c r="H50" s="2" t="s">
        <v>23</v>
      </c>
      <c r="I50" s="2">
        <v>12</v>
      </c>
      <c r="J50" s="2">
        <v>15</v>
      </c>
      <c r="K50" s="2">
        <v>0</v>
      </c>
      <c r="L50" s="2">
        <v>7</v>
      </c>
      <c r="M50" s="2">
        <v>8.1</v>
      </c>
      <c r="N50" s="2">
        <v>1.1000000000000001</v>
      </c>
      <c r="O50" s="3">
        <v>1</v>
      </c>
      <c r="P50" s="3">
        <v>0.97299999999999998</v>
      </c>
      <c r="Q50" s="3">
        <v>0.98899999999999999</v>
      </c>
      <c r="R50" s="2" t="s">
        <v>24</v>
      </c>
    </row>
    <row r="51" spans="1:18" x14ac:dyDescent="0.3">
      <c r="A51" s="1">
        <v>46133</v>
      </c>
      <c r="B51" s="2" t="s">
        <v>75</v>
      </c>
      <c r="C51" s="2" t="s">
        <v>62</v>
      </c>
      <c r="D51" s="2" t="s">
        <v>63</v>
      </c>
      <c r="E51" s="2" t="s">
        <v>43</v>
      </c>
      <c r="F51" s="2" t="s">
        <v>38</v>
      </c>
      <c r="G51" s="2">
        <v>21</v>
      </c>
      <c r="H51" s="2" t="s">
        <v>23</v>
      </c>
      <c r="I51" s="2">
        <v>8</v>
      </c>
      <c r="J51" s="2">
        <v>7</v>
      </c>
      <c r="K51" s="2">
        <v>1</v>
      </c>
      <c r="L51" s="2">
        <v>7</v>
      </c>
      <c r="M51" s="2">
        <v>8</v>
      </c>
      <c r="N51" s="2">
        <v>1</v>
      </c>
      <c r="O51" s="3">
        <v>0.89700000000000002</v>
      </c>
      <c r="P51" s="3">
        <v>0.83499999999999996</v>
      </c>
      <c r="Q51" s="3">
        <v>0.872</v>
      </c>
      <c r="R51" s="2" t="s">
        <v>50</v>
      </c>
    </row>
    <row r="52" spans="1:18" x14ac:dyDescent="0.3">
      <c r="A52" s="1">
        <v>46135</v>
      </c>
      <c r="B52" s="2" t="s">
        <v>75</v>
      </c>
      <c r="C52" s="2" t="s">
        <v>65</v>
      </c>
      <c r="D52" s="2" t="s">
        <v>66</v>
      </c>
      <c r="E52" s="2" t="s">
        <v>49</v>
      </c>
      <c r="F52" s="2" t="s">
        <v>22</v>
      </c>
      <c r="G52" s="2">
        <v>22</v>
      </c>
      <c r="H52" s="2" t="s">
        <v>23</v>
      </c>
      <c r="I52" s="2">
        <v>16</v>
      </c>
      <c r="J52" s="2">
        <v>18</v>
      </c>
      <c r="K52" s="2">
        <v>0</v>
      </c>
      <c r="L52" s="2">
        <v>8</v>
      </c>
      <c r="M52" s="2">
        <v>7.1</v>
      </c>
      <c r="N52" s="2">
        <v>0</v>
      </c>
      <c r="O52" s="3">
        <v>1</v>
      </c>
      <c r="P52" s="3">
        <v>0.90500000000000003</v>
      </c>
      <c r="Q52" s="3">
        <v>0.96199999999999997</v>
      </c>
      <c r="R52" s="2" t="s">
        <v>24</v>
      </c>
    </row>
    <row r="53" spans="1:18" x14ac:dyDescent="0.3">
      <c r="A53" s="1">
        <v>46137</v>
      </c>
      <c r="B53" s="2" t="s">
        <v>75</v>
      </c>
      <c r="C53" s="2" t="s">
        <v>67</v>
      </c>
      <c r="D53" s="2" t="s">
        <v>68</v>
      </c>
      <c r="E53" s="2" t="s">
        <v>55</v>
      </c>
      <c r="F53" s="2" t="s">
        <v>32</v>
      </c>
      <c r="G53" s="2">
        <v>22</v>
      </c>
      <c r="H53" s="2" t="s">
        <v>23</v>
      </c>
      <c r="I53" s="2">
        <v>16</v>
      </c>
      <c r="J53" s="2">
        <v>13</v>
      </c>
      <c r="K53" s="2">
        <v>3</v>
      </c>
      <c r="L53" s="2">
        <v>8</v>
      </c>
      <c r="M53" s="2">
        <v>7.7</v>
      </c>
      <c r="N53" s="2">
        <v>0</v>
      </c>
      <c r="O53" s="3">
        <v>0.82599999999999996</v>
      </c>
      <c r="P53" s="3">
        <v>0.73899999999999999</v>
      </c>
      <c r="Q53" s="3">
        <v>0.79100000000000004</v>
      </c>
      <c r="R53" s="2" t="s">
        <v>50</v>
      </c>
    </row>
    <row r="54" spans="1:18" x14ac:dyDescent="0.3">
      <c r="A54" s="1">
        <v>46139</v>
      </c>
      <c r="B54" s="2" t="s">
        <v>75</v>
      </c>
      <c r="C54" s="2" t="s">
        <v>76</v>
      </c>
      <c r="D54" s="2" t="s">
        <v>77</v>
      </c>
      <c r="E54" s="2" t="s">
        <v>21</v>
      </c>
      <c r="F54" s="2" t="s">
        <v>27</v>
      </c>
      <c r="G54" s="2">
        <v>20</v>
      </c>
      <c r="H54" s="2" t="s">
        <v>23</v>
      </c>
      <c r="I54" s="2">
        <v>12</v>
      </c>
      <c r="J54" s="2">
        <v>11</v>
      </c>
      <c r="K54" s="2">
        <v>1</v>
      </c>
      <c r="L54" s="2">
        <v>7</v>
      </c>
      <c r="M54" s="2">
        <v>7.4</v>
      </c>
      <c r="N54" s="2">
        <v>0.4</v>
      </c>
      <c r="O54" s="3">
        <v>0.98</v>
      </c>
      <c r="P54" s="3">
        <v>0.90600000000000003</v>
      </c>
      <c r="Q54" s="3">
        <v>0.95</v>
      </c>
      <c r="R54" s="2" t="s">
        <v>24</v>
      </c>
    </row>
    <row r="55" spans="1:18" x14ac:dyDescent="0.3">
      <c r="A55" s="1">
        <v>46141</v>
      </c>
      <c r="B55" s="2" t="s">
        <v>75</v>
      </c>
      <c r="C55" s="2" t="s">
        <v>69</v>
      </c>
      <c r="D55" s="2" t="s">
        <v>70</v>
      </c>
      <c r="E55" s="2" t="s">
        <v>31</v>
      </c>
      <c r="F55" s="2" t="s">
        <v>38</v>
      </c>
      <c r="G55" s="2">
        <v>20</v>
      </c>
      <c r="H55" s="2" t="s">
        <v>28</v>
      </c>
      <c r="I55" s="2">
        <v>9</v>
      </c>
      <c r="J55" s="2">
        <v>8</v>
      </c>
      <c r="K55" s="2">
        <v>1</v>
      </c>
      <c r="L55" s="2">
        <v>9</v>
      </c>
      <c r="M55" s="2">
        <v>10.1</v>
      </c>
      <c r="N55" s="2">
        <v>1.1000000000000001</v>
      </c>
      <c r="O55" s="3">
        <v>0.95</v>
      </c>
      <c r="P55" s="3">
        <v>0.91900000000000004</v>
      </c>
      <c r="Q55" s="3">
        <v>0.93799999999999994</v>
      </c>
      <c r="R55" s="2" t="s">
        <v>24</v>
      </c>
    </row>
    <row r="56" spans="1:18" x14ac:dyDescent="0.3">
      <c r="A56" s="1">
        <v>46143</v>
      </c>
      <c r="B56" s="2" t="s">
        <v>78</v>
      </c>
      <c r="C56" s="2" t="s">
        <v>19</v>
      </c>
      <c r="D56" s="2" t="s">
        <v>20</v>
      </c>
      <c r="E56" s="2" t="s">
        <v>21</v>
      </c>
      <c r="F56" s="2" t="s">
        <v>22</v>
      </c>
      <c r="G56" s="2">
        <v>22</v>
      </c>
      <c r="H56" s="2" t="s">
        <v>28</v>
      </c>
      <c r="I56" s="2">
        <v>10</v>
      </c>
      <c r="J56" s="2">
        <v>8</v>
      </c>
      <c r="K56" s="2">
        <v>2</v>
      </c>
      <c r="L56" s="2">
        <v>7</v>
      </c>
      <c r="M56" s="2">
        <v>6.5</v>
      </c>
      <c r="N56" s="2">
        <v>0</v>
      </c>
      <c r="O56" s="3">
        <v>0.876</v>
      </c>
      <c r="P56" s="3">
        <v>0.93400000000000005</v>
      </c>
      <c r="Q56" s="3">
        <v>0.89900000000000002</v>
      </c>
      <c r="R56" s="2" t="s">
        <v>50</v>
      </c>
    </row>
    <row r="57" spans="1:18" x14ac:dyDescent="0.3">
      <c r="A57" s="1">
        <v>46145</v>
      </c>
      <c r="B57" s="2" t="s">
        <v>78</v>
      </c>
      <c r="C57" s="2" t="s">
        <v>25</v>
      </c>
      <c r="D57" s="2" t="s">
        <v>26</v>
      </c>
      <c r="E57" s="2" t="s">
        <v>21</v>
      </c>
      <c r="F57" s="2" t="s">
        <v>27</v>
      </c>
      <c r="G57" s="2">
        <v>21</v>
      </c>
      <c r="H57" s="2" t="s">
        <v>23</v>
      </c>
      <c r="I57" s="2">
        <v>10</v>
      </c>
      <c r="J57" s="2">
        <v>12</v>
      </c>
      <c r="K57" s="2">
        <v>0</v>
      </c>
      <c r="L57" s="2">
        <v>8</v>
      </c>
      <c r="M57" s="2">
        <v>7.8</v>
      </c>
      <c r="N57" s="2">
        <v>0</v>
      </c>
      <c r="O57" s="3">
        <v>1</v>
      </c>
      <c r="P57" s="3">
        <v>0.97099999999999997</v>
      </c>
      <c r="Q57" s="3">
        <v>0.98799999999999999</v>
      </c>
      <c r="R57" s="2" t="s">
        <v>24</v>
      </c>
    </row>
    <row r="58" spans="1:18" x14ac:dyDescent="0.3">
      <c r="A58" s="1">
        <v>46149</v>
      </c>
      <c r="B58" s="2" t="s">
        <v>78</v>
      </c>
      <c r="C58" s="2" t="s">
        <v>33</v>
      </c>
      <c r="D58" s="2" t="s">
        <v>34</v>
      </c>
      <c r="E58" s="2" t="s">
        <v>31</v>
      </c>
      <c r="F58" s="2" t="s">
        <v>22</v>
      </c>
      <c r="G58" s="2">
        <v>21</v>
      </c>
      <c r="H58" s="2" t="s">
        <v>23</v>
      </c>
      <c r="I58" s="2">
        <v>15</v>
      </c>
      <c r="J58" s="2">
        <v>13</v>
      </c>
      <c r="K58" s="2">
        <v>2</v>
      </c>
      <c r="L58" s="2">
        <v>7</v>
      </c>
      <c r="M58" s="2">
        <v>5.7</v>
      </c>
      <c r="N58" s="2">
        <v>0</v>
      </c>
      <c r="O58" s="3">
        <v>0.91700000000000004</v>
      </c>
      <c r="P58" s="3">
        <v>0.89800000000000002</v>
      </c>
      <c r="Q58" s="3">
        <v>0.90900000000000003</v>
      </c>
      <c r="R58" s="2" t="s">
        <v>24</v>
      </c>
    </row>
    <row r="59" spans="1:18" x14ac:dyDescent="0.3">
      <c r="A59" s="1">
        <v>46151</v>
      </c>
      <c r="B59" s="2" t="s">
        <v>78</v>
      </c>
      <c r="C59" s="2" t="s">
        <v>35</v>
      </c>
      <c r="D59" s="2" t="s">
        <v>36</v>
      </c>
      <c r="E59" s="2" t="s">
        <v>37</v>
      </c>
      <c r="F59" s="2" t="s">
        <v>38</v>
      </c>
      <c r="G59" s="2">
        <v>21</v>
      </c>
      <c r="H59" s="2" t="s">
        <v>23</v>
      </c>
      <c r="I59" s="2">
        <v>11</v>
      </c>
      <c r="J59" s="2">
        <v>8</v>
      </c>
      <c r="K59" s="2">
        <v>3</v>
      </c>
      <c r="L59" s="2">
        <v>9</v>
      </c>
      <c r="M59" s="2">
        <v>9.9</v>
      </c>
      <c r="N59" s="2">
        <v>0.9</v>
      </c>
      <c r="O59" s="3">
        <v>0.67800000000000005</v>
      </c>
      <c r="P59" s="3">
        <v>0.63</v>
      </c>
      <c r="Q59" s="3">
        <v>0.65900000000000003</v>
      </c>
      <c r="R59" s="2" t="s">
        <v>74</v>
      </c>
    </row>
    <row r="60" spans="1:18" x14ac:dyDescent="0.3">
      <c r="A60" s="1">
        <v>46153</v>
      </c>
      <c r="B60" s="2" t="s">
        <v>78</v>
      </c>
      <c r="C60" s="2" t="s">
        <v>39</v>
      </c>
      <c r="D60" s="2" t="s">
        <v>40</v>
      </c>
      <c r="E60" s="2" t="s">
        <v>37</v>
      </c>
      <c r="F60" s="2" t="s">
        <v>27</v>
      </c>
      <c r="G60" s="2">
        <v>20</v>
      </c>
      <c r="H60" s="2" t="s">
        <v>23</v>
      </c>
      <c r="I60" s="2">
        <v>13</v>
      </c>
      <c r="J60" s="2">
        <v>15</v>
      </c>
      <c r="K60" s="2">
        <v>0</v>
      </c>
      <c r="L60" s="2">
        <v>9</v>
      </c>
      <c r="M60" s="2">
        <v>10.5</v>
      </c>
      <c r="N60" s="2">
        <v>1.5</v>
      </c>
      <c r="O60" s="3">
        <v>1</v>
      </c>
      <c r="P60" s="3">
        <v>1</v>
      </c>
      <c r="Q60" s="3">
        <v>1</v>
      </c>
      <c r="R60" s="2" t="s">
        <v>24</v>
      </c>
    </row>
    <row r="61" spans="1:18" x14ac:dyDescent="0.3">
      <c r="A61" s="1">
        <v>46155</v>
      </c>
      <c r="B61" s="2" t="s">
        <v>78</v>
      </c>
      <c r="C61" s="2" t="s">
        <v>41</v>
      </c>
      <c r="D61" s="2" t="s">
        <v>42</v>
      </c>
      <c r="E61" s="2" t="s">
        <v>43</v>
      </c>
      <c r="F61" s="2" t="s">
        <v>32</v>
      </c>
      <c r="G61" s="2">
        <v>22</v>
      </c>
      <c r="H61" s="2" t="s">
        <v>23</v>
      </c>
      <c r="I61" s="2">
        <v>8</v>
      </c>
      <c r="J61" s="2">
        <v>5</v>
      </c>
      <c r="K61" s="2">
        <v>50</v>
      </c>
      <c r="L61" s="2">
        <v>8</v>
      </c>
      <c r="M61" s="2">
        <v>7.9</v>
      </c>
      <c r="N61" s="2">
        <v>0</v>
      </c>
      <c r="O61" s="3">
        <v>0.57399999999999995</v>
      </c>
      <c r="P61" s="3">
        <v>0.66600000000000004</v>
      </c>
      <c r="Q61" s="3">
        <v>0.61099999999999999</v>
      </c>
      <c r="R61" s="2" t="s">
        <v>74</v>
      </c>
    </row>
    <row r="62" spans="1:18" x14ac:dyDescent="0.3">
      <c r="A62" s="1">
        <v>46157</v>
      </c>
      <c r="B62" s="2" t="s">
        <v>78</v>
      </c>
      <c r="C62" s="2" t="s">
        <v>44</v>
      </c>
      <c r="D62" s="2" t="s">
        <v>45</v>
      </c>
      <c r="E62" s="2" t="s">
        <v>43</v>
      </c>
      <c r="F62" s="2" t="s">
        <v>22</v>
      </c>
      <c r="G62" s="2">
        <v>21</v>
      </c>
      <c r="H62" s="2" t="s">
        <v>23</v>
      </c>
      <c r="I62" s="2">
        <v>9</v>
      </c>
      <c r="J62" s="2">
        <v>10</v>
      </c>
      <c r="K62" s="2">
        <v>0</v>
      </c>
      <c r="L62" s="2">
        <v>8</v>
      </c>
      <c r="M62" s="2">
        <v>9.1</v>
      </c>
      <c r="N62" s="2">
        <v>1.1000000000000001</v>
      </c>
      <c r="O62" s="3">
        <v>1</v>
      </c>
      <c r="P62" s="3">
        <v>1</v>
      </c>
      <c r="Q62" s="3">
        <v>1</v>
      </c>
      <c r="R62" s="2" t="s">
        <v>24</v>
      </c>
    </row>
    <row r="63" spans="1:18" x14ac:dyDescent="0.3">
      <c r="A63" s="1">
        <v>46159</v>
      </c>
      <c r="B63" s="2" t="s">
        <v>78</v>
      </c>
      <c r="C63" s="2" t="s">
        <v>47</v>
      </c>
      <c r="D63" s="2" t="s">
        <v>48</v>
      </c>
      <c r="E63" s="2" t="s">
        <v>49</v>
      </c>
      <c r="F63" s="2" t="s">
        <v>38</v>
      </c>
      <c r="G63" s="2">
        <v>21</v>
      </c>
      <c r="H63" s="2" t="s">
        <v>46</v>
      </c>
      <c r="I63" s="2">
        <v>16</v>
      </c>
      <c r="J63" s="2">
        <v>13</v>
      </c>
      <c r="K63" s="2">
        <v>3</v>
      </c>
      <c r="L63" s="2">
        <v>8</v>
      </c>
      <c r="M63" s="2">
        <v>8.4</v>
      </c>
      <c r="N63" s="2">
        <v>0.4</v>
      </c>
      <c r="O63" s="3">
        <v>0.876</v>
      </c>
      <c r="P63" s="3">
        <v>0.79800000000000004</v>
      </c>
      <c r="Q63" s="3">
        <v>0.84499999999999997</v>
      </c>
      <c r="R63" s="2" t="s">
        <v>50</v>
      </c>
    </row>
    <row r="64" spans="1:18" x14ac:dyDescent="0.3">
      <c r="A64" s="1">
        <v>46163</v>
      </c>
      <c r="B64" s="2" t="s">
        <v>78</v>
      </c>
      <c r="C64" s="2" t="s">
        <v>72</v>
      </c>
      <c r="D64" s="2" t="s">
        <v>73</v>
      </c>
      <c r="E64" s="2" t="s">
        <v>55</v>
      </c>
      <c r="F64" s="2" t="s">
        <v>27</v>
      </c>
      <c r="G64" s="2">
        <v>22</v>
      </c>
      <c r="H64" s="2" t="s">
        <v>28</v>
      </c>
      <c r="I64" s="2">
        <v>19</v>
      </c>
      <c r="J64" s="2">
        <v>21</v>
      </c>
      <c r="K64" s="2">
        <v>0</v>
      </c>
      <c r="L64" s="2">
        <v>7</v>
      </c>
      <c r="M64" s="2">
        <v>7.4</v>
      </c>
      <c r="N64" s="2">
        <v>0.4</v>
      </c>
      <c r="O64" s="3">
        <v>1</v>
      </c>
      <c r="P64" s="3">
        <v>0.89500000000000002</v>
      </c>
      <c r="Q64" s="3">
        <v>0.95799999999999996</v>
      </c>
      <c r="R64" s="2" t="s">
        <v>24</v>
      </c>
    </row>
    <row r="65" spans="1:18" x14ac:dyDescent="0.3">
      <c r="A65" s="1">
        <v>46165</v>
      </c>
      <c r="B65" s="2" t="s">
        <v>78</v>
      </c>
      <c r="C65" s="2" t="s">
        <v>53</v>
      </c>
      <c r="D65" s="2" t="s">
        <v>54</v>
      </c>
      <c r="E65" s="2" t="s">
        <v>55</v>
      </c>
      <c r="F65" s="2" t="s">
        <v>22</v>
      </c>
      <c r="G65" s="2">
        <v>22</v>
      </c>
      <c r="H65" s="2" t="s">
        <v>23</v>
      </c>
      <c r="I65" s="2">
        <v>17</v>
      </c>
      <c r="J65" s="2">
        <v>16</v>
      </c>
      <c r="K65" s="2">
        <v>1</v>
      </c>
      <c r="L65" s="2">
        <v>9</v>
      </c>
      <c r="M65" s="2">
        <v>10.7</v>
      </c>
      <c r="N65" s="2">
        <v>1.7</v>
      </c>
      <c r="O65" s="3">
        <v>0.997</v>
      </c>
      <c r="P65" s="3">
        <v>1</v>
      </c>
      <c r="Q65" s="3">
        <v>0.998</v>
      </c>
      <c r="R65" s="2" t="s">
        <v>24</v>
      </c>
    </row>
    <row r="66" spans="1:18" x14ac:dyDescent="0.3">
      <c r="A66" s="1">
        <v>46167</v>
      </c>
      <c r="B66" s="2" t="s">
        <v>78</v>
      </c>
      <c r="C66" s="2" t="s">
        <v>56</v>
      </c>
      <c r="D66" s="2" t="s">
        <v>57</v>
      </c>
      <c r="E66" s="2" t="s">
        <v>21</v>
      </c>
      <c r="F66" s="2" t="s">
        <v>38</v>
      </c>
      <c r="G66" s="2">
        <v>21</v>
      </c>
      <c r="H66" s="2" t="s">
        <v>46</v>
      </c>
      <c r="I66" s="2">
        <v>12</v>
      </c>
      <c r="J66" s="2">
        <v>14</v>
      </c>
      <c r="K66" s="2">
        <v>0</v>
      </c>
      <c r="L66" s="2">
        <v>8</v>
      </c>
      <c r="M66" s="2">
        <v>8</v>
      </c>
      <c r="N66" s="2">
        <v>0</v>
      </c>
      <c r="O66" s="3">
        <v>1</v>
      </c>
      <c r="P66" s="3">
        <v>1</v>
      </c>
      <c r="Q66" s="3">
        <v>1</v>
      </c>
      <c r="R66" s="2" t="s">
        <v>24</v>
      </c>
    </row>
    <row r="67" spans="1:18" x14ac:dyDescent="0.3">
      <c r="A67" s="1">
        <v>46169</v>
      </c>
      <c r="B67" s="2" t="s">
        <v>78</v>
      </c>
      <c r="C67" s="2" t="s">
        <v>58</v>
      </c>
      <c r="D67" s="2" t="s">
        <v>59</v>
      </c>
      <c r="E67" s="2" t="s">
        <v>31</v>
      </c>
      <c r="F67" s="2" t="s">
        <v>27</v>
      </c>
      <c r="G67" s="2">
        <v>22</v>
      </c>
      <c r="H67" s="2" t="s">
        <v>23</v>
      </c>
      <c r="I67" s="2">
        <v>11</v>
      </c>
      <c r="J67" s="2">
        <v>11</v>
      </c>
      <c r="K67" s="2">
        <v>0</v>
      </c>
      <c r="L67" s="2">
        <v>9</v>
      </c>
      <c r="M67" s="2">
        <v>10.7</v>
      </c>
      <c r="N67" s="2">
        <v>1.7</v>
      </c>
      <c r="O67" s="3">
        <v>1</v>
      </c>
      <c r="P67" s="3">
        <v>1</v>
      </c>
      <c r="Q67" s="3">
        <v>1</v>
      </c>
      <c r="R67" s="2" t="s">
        <v>24</v>
      </c>
    </row>
    <row r="68" spans="1:18" x14ac:dyDescent="0.3">
      <c r="A68" s="1">
        <v>46171</v>
      </c>
      <c r="B68" s="2" t="s">
        <v>78</v>
      </c>
      <c r="C68" s="2" t="s">
        <v>60</v>
      </c>
      <c r="D68" s="2" t="s">
        <v>61</v>
      </c>
      <c r="E68" s="2" t="s">
        <v>37</v>
      </c>
      <c r="F68" s="2" t="s">
        <v>32</v>
      </c>
      <c r="G68" s="2">
        <v>20</v>
      </c>
      <c r="H68" s="2" t="s">
        <v>46</v>
      </c>
      <c r="I68" s="2">
        <v>17</v>
      </c>
      <c r="J68" s="2">
        <v>16</v>
      </c>
      <c r="K68" s="2">
        <v>1</v>
      </c>
      <c r="L68" s="2">
        <v>8</v>
      </c>
      <c r="M68" s="2">
        <v>5.0999999999999996</v>
      </c>
      <c r="N68" s="2">
        <v>0</v>
      </c>
      <c r="O68" s="3">
        <v>0.94899999999999995</v>
      </c>
      <c r="P68" s="3">
        <v>0.82899999999999996</v>
      </c>
      <c r="Q68" s="3">
        <v>0.90100000000000002</v>
      </c>
      <c r="R68" s="2" t="s">
        <v>24</v>
      </c>
    </row>
    <row r="69" spans="1:18" x14ac:dyDescent="0.3">
      <c r="A69" s="1">
        <v>46173</v>
      </c>
      <c r="B69" s="2" t="s">
        <v>78</v>
      </c>
      <c r="C69" s="2" t="s">
        <v>62</v>
      </c>
      <c r="D69" s="2" t="s">
        <v>63</v>
      </c>
      <c r="E69" s="2" t="s">
        <v>43</v>
      </c>
      <c r="F69" s="2" t="s">
        <v>38</v>
      </c>
      <c r="G69" s="2">
        <v>21</v>
      </c>
      <c r="H69" s="2" t="s">
        <v>23</v>
      </c>
      <c r="I69" s="2">
        <v>14</v>
      </c>
      <c r="J69" s="2">
        <v>17</v>
      </c>
      <c r="K69" s="2">
        <v>0</v>
      </c>
      <c r="L69" s="2">
        <v>9</v>
      </c>
      <c r="M69" s="2">
        <v>9.9</v>
      </c>
      <c r="N69" s="2">
        <v>0.9</v>
      </c>
      <c r="O69" s="3">
        <v>1</v>
      </c>
      <c r="P69" s="3">
        <v>0.95099999999999996</v>
      </c>
      <c r="Q69" s="3">
        <v>0.98</v>
      </c>
      <c r="R69" s="2" t="s">
        <v>24</v>
      </c>
    </row>
    <row r="70" spans="1:18" x14ac:dyDescent="0.3">
      <c r="A70" s="1">
        <v>46175</v>
      </c>
      <c r="B70" s="2" t="s">
        <v>79</v>
      </c>
      <c r="C70" s="2" t="s">
        <v>65</v>
      </c>
      <c r="D70" s="2" t="s">
        <v>66</v>
      </c>
      <c r="E70" s="2" t="s">
        <v>49</v>
      </c>
      <c r="F70" s="2" t="s">
        <v>22</v>
      </c>
      <c r="G70" s="2">
        <v>21</v>
      </c>
      <c r="H70" s="2" t="s">
        <v>23</v>
      </c>
      <c r="I70" s="2">
        <v>18</v>
      </c>
      <c r="J70" s="2">
        <v>16</v>
      </c>
      <c r="K70" s="2">
        <v>2</v>
      </c>
      <c r="L70" s="2">
        <v>9</v>
      </c>
      <c r="M70" s="2">
        <v>9.1</v>
      </c>
      <c r="N70" s="2">
        <v>0.1</v>
      </c>
      <c r="O70" s="3">
        <v>0.88500000000000001</v>
      </c>
      <c r="P70" s="3">
        <v>0.96299999999999997</v>
      </c>
      <c r="Q70" s="3">
        <v>0.91600000000000004</v>
      </c>
      <c r="R70" s="2" t="s">
        <v>24</v>
      </c>
    </row>
    <row r="71" spans="1:18" x14ac:dyDescent="0.3">
      <c r="A71" s="1">
        <v>46179</v>
      </c>
      <c r="B71" s="2" t="s">
        <v>79</v>
      </c>
      <c r="C71" s="2" t="s">
        <v>76</v>
      </c>
      <c r="D71" s="2" t="s">
        <v>77</v>
      </c>
      <c r="E71" s="2" t="s">
        <v>21</v>
      </c>
      <c r="F71" s="2" t="s">
        <v>27</v>
      </c>
      <c r="G71" s="2">
        <v>21</v>
      </c>
      <c r="H71" s="2" t="s">
        <v>23</v>
      </c>
      <c r="I71" s="2">
        <v>20</v>
      </c>
      <c r="J71" s="2">
        <v>18</v>
      </c>
      <c r="K71" s="2">
        <v>2</v>
      </c>
      <c r="L71" s="2">
        <v>9</v>
      </c>
      <c r="M71" s="2">
        <v>9.1</v>
      </c>
      <c r="N71" s="2">
        <v>0.1</v>
      </c>
      <c r="O71" s="3">
        <v>0.87</v>
      </c>
      <c r="P71" s="3">
        <v>0.92700000000000005</v>
      </c>
      <c r="Q71" s="3">
        <v>0.89300000000000002</v>
      </c>
      <c r="R71" s="2" t="s">
        <v>50</v>
      </c>
    </row>
    <row r="72" spans="1:18" x14ac:dyDescent="0.3">
      <c r="A72" s="1">
        <v>46181</v>
      </c>
      <c r="B72" s="2" t="s">
        <v>79</v>
      </c>
      <c r="C72" s="2" t="s">
        <v>69</v>
      </c>
      <c r="D72" s="2" t="s">
        <v>70</v>
      </c>
      <c r="E72" s="2" t="s">
        <v>31</v>
      </c>
      <c r="F72" s="2" t="s">
        <v>38</v>
      </c>
      <c r="G72" s="2">
        <v>20</v>
      </c>
      <c r="H72" s="2" t="s">
        <v>23</v>
      </c>
      <c r="I72" s="2">
        <v>8</v>
      </c>
      <c r="J72" s="2">
        <v>6</v>
      </c>
      <c r="K72" s="2">
        <v>2</v>
      </c>
      <c r="L72" s="2">
        <v>8</v>
      </c>
      <c r="M72" s="2">
        <v>5.8</v>
      </c>
      <c r="N72" s="2">
        <v>0</v>
      </c>
      <c r="O72" s="3">
        <v>0.76800000000000002</v>
      </c>
      <c r="P72" s="3">
        <v>0.81699999999999995</v>
      </c>
      <c r="Q72" s="3">
        <v>0.78800000000000003</v>
      </c>
      <c r="R72" s="2" t="s">
        <v>50</v>
      </c>
    </row>
    <row r="73" spans="1:18" x14ac:dyDescent="0.3">
      <c r="A73" s="1">
        <v>46183</v>
      </c>
      <c r="B73" s="2" t="s">
        <v>79</v>
      </c>
      <c r="C73" s="2" t="s">
        <v>19</v>
      </c>
      <c r="D73" s="2" t="s">
        <v>20</v>
      </c>
      <c r="E73" s="2" t="s">
        <v>21</v>
      </c>
      <c r="F73" s="2" t="s">
        <v>22</v>
      </c>
      <c r="G73" s="2">
        <v>21</v>
      </c>
      <c r="H73" s="2" t="s">
        <v>23</v>
      </c>
      <c r="I73" s="2">
        <v>18</v>
      </c>
      <c r="J73" s="2">
        <v>19</v>
      </c>
      <c r="K73" s="2">
        <v>50</v>
      </c>
      <c r="L73" s="2">
        <v>7</v>
      </c>
      <c r="M73" s="2">
        <v>6.8</v>
      </c>
      <c r="N73" s="2">
        <v>0</v>
      </c>
      <c r="O73" s="3">
        <v>1</v>
      </c>
      <c r="P73" s="3">
        <v>0.96399999999999997</v>
      </c>
      <c r="Q73" s="3">
        <v>0.98599999999999999</v>
      </c>
      <c r="R73" s="2" t="s">
        <v>24</v>
      </c>
    </row>
    <row r="74" spans="1:18" x14ac:dyDescent="0.3">
      <c r="A74" s="1">
        <v>46185</v>
      </c>
      <c r="B74" s="2" t="s">
        <v>79</v>
      </c>
      <c r="C74" s="2" t="s">
        <v>25</v>
      </c>
      <c r="D74" s="2" t="s">
        <v>26</v>
      </c>
      <c r="E74" s="2" t="s">
        <v>21</v>
      </c>
      <c r="F74" s="2" t="s">
        <v>27</v>
      </c>
      <c r="G74" s="2">
        <v>21</v>
      </c>
      <c r="H74" s="2" t="s">
        <v>23</v>
      </c>
      <c r="I74" s="2">
        <v>10</v>
      </c>
      <c r="J74" s="2">
        <v>12</v>
      </c>
      <c r="K74" s="2">
        <v>0</v>
      </c>
      <c r="L74" s="2">
        <v>9</v>
      </c>
      <c r="M74" s="2">
        <v>9.4</v>
      </c>
      <c r="N74" s="2">
        <v>0.4</v>
      </c>
      <c r="O74" s="3">
        <v>1</v>
      </c>
      <c r="P74" s="3">
        <v>1</v>
      </c>
      <c r="Q74" s="3">
        <v>1</v>
      </c>
      <c r="R74" s="2" t="s">
        <v>24</v>
      </c>
    </row>
    <row r="75" spans="1:18" x14ac:dyDescent="0.3">
      <c r="A75" s="1">
        <v>46187</v>
      </c>
      <c r="B75" s="2" t="s">
        <v>79</v>
      </c>
      <c r="C75" s="2" t="s">
        <v>29</v>
      </c>
      <c r="D75" s="2" t="s">
        <v>30</v>
      </c>
      <c r="E75" s="2" t="s">
        <v>31</v>
      </c>
      <c r="F75" s="2" t="s">
        <v>32</v>
      </c>
      <c r="G75" s="2">
        <v>20</v>
      </c>
      <c r="H75" s="2" t="s">
        <v>23</v>
      </c>
      <c r="I75" s="2">
        <v>11</v>
      </c>
      <c r="J75" s="2">
        <v>9</v>
      </c>
      <c r="K75" s="2">
        <v>2</v>
      </c>
      <c r="L75" s="2">
        <v>9</v>
      </c>
      <c r="M75" s="2">
        <v>10.6</v>
      </c>
      <c r="N75" s="2">
        <v>1.6</v>
      </c>
      <c r="O75" s="3">
        <v>0.82099999999999995</v>
      </c>
      <c r="P75" s="3">
        <v>0.71199999999999997</v>
      </c>
      <c r="Q75" s="3">
        <v>0.77700000000000002</v>
      </c>
      <c r="R75" s="2" t="s">
        <v>50</v>
      </c>
    </row>
    <row r="76" spans="1:18" x14ac:dyDescent="0.3">
      <c r="A76" s="1">
        <v>46189</v>
      </c>
      <c r="B76" s="2" t="s">
        <v>79</v>
      </c>
      <c r="C76" s="2" t="s">
        <v>33</v>
      </c>
      <c r="D76" s="2" t="s">
        <v>34</v>
      </c>
      <c r="E76" s="2" t="s">
        <v>31</v>
      </c>
      <c r="F76" s="2" t="s">
        <v>22</v>
      </c>
      <c r="G76" s="2">
        <v>20</v>
      </c>
      <c r="H76" s="2" t="s">
        <v>23</v>
      </c>
      <c r="I76" s="2">
        <v>15</v>
      </c>
      <c r="J76" s="2">
        <v>13</v>
      </c>
      <c r="K76" s="2">
        <v>2</v>
      </c>
      <c r="L76" s="2">
        <v>8</v>
      </c>
      <c r="M76" s="2">
        <v>7.4</v>
      </c>
      <c r="N76" s="2">
        <v>0</v>
      </c>
      <c r="O76" s="3">
        <v>0.89300000000000002</v>
      </c>
      <c r="P76" s="3">
        <v>0.99</v>
      </c>
      <c r="Q76" s="3">
        <v>0.93200000000000005</v>
      </c>
      <c r="R76" s="2" t="s">
        <v>24</v>
      </c>
    </row>
    <row r="77" spans="1:18" x14ac:dyDescent="0.3">
      <c r="A77" s="1">
        <v>46193</v>
      </c>
      <c r="B77" s="2" t="s">
        <v>79</v>
      </c>
      <c r="C77" s="2" t="s">
        <v>39</v>
      </c>
      <c r="D77" s="2" t="s">
        <v>40</v>
      </c>
      <c r="E77" s="2" t="s">
        <v>37</v>
      </c>
      <c r="F77" s="2" t="s">
        <v>27</v>
      </c>
      <c r="G77" s="2">
        <v>21</v>
      </c>
      <c r="H77" s="2" t="s">
        <v>46</v>
      </c>
      <c r="I77" s="2">
        <v>15</v>
      </c>
      <c r="J77" s="2">
        <v>13</v>
      </c>
      <c r="K77" s="2">
        <v>2</v>
      </c>
      <c r="L77" s="2">
        <v>9</v>
      </c>
      <c r="M77" s="2">
        <v>8.4</v>
      </c>
      <c r="N77" s="2">
        <v>0</v>
      </c>
      <c r="O77" s="3">
        <v>0.92500000000000004</v>
      </c>
      <c r="P77" s="3">
        <v>0.90400000000000003</v>
      </c>
      <c r="Q77" s="3">
        <v>0.91700000000000004</v>
      </c>
      <c r="R77" s="2" t="s">
        <v>24</v>
      </c>
    </row>
    <row r="78" spans="1:18" x14ac:dyDescent="0.3">
      <c r="A78" s="1">
        <v>46195</v>
      </c>
      <c r="B78" s="2" t="s">
        <v>79</v>
      </c>
      <c r="C78" s="2" t="s">
        <v>41</v>
      </c>
      <c r="D78" s="2" t="s">
        <v>42</v>
      </c>
      <c r="E78" s="2" t="s">
        <v>43</v>
      </c>
      <c r="F78" s="2" t="s">
        <v>32</v>
      </c>
      <c r="G78" s="2">
        <v>20</v>
      </c>
      <c r="H78" s="2" t="s">
        <v>28</v>
      </c>
      <c r="I78" s="2">
        <v>12</v>
      </c>
      <c r="J78" s="2">
        <v>15</v>
      </c>
      <c r="K78" s="2">
        <v>0</v>
      </c>
      <c r="L78" s="2">
        <v>9</v>
      </c>
      <c r="M78" s="2">
        <v>10</v>
      </c>
      <c r="N78" s="2">
        <v>1</v>
      </c>
      <c r="O78" s="3">
        <v>1</v>
      </c>
      <c r="P78" s="3">
        <v>0.93300000000000005</v>
      </c>
      <c r="Q78" s="3">
        <v>0.97299999999999998</v>
      </c>
      <c r="R78" s="2" t="s">
        <v>24</v>
      </c>
    </row>
    <row r="79" spans="1:18" x14ac:dyDescent="0.3">
      <c r="A79" s="1">
        <v>46197</v>
      </c>
      <c r="B79" s="2" t="s">
        <v>79</v>
      </c>
      <c r="C79" s="2" t="s">
        <v>44</v>
      </c>
      <c r="D79" s="2" t="s">
        <v>45</v>
      </c>
      <c r="E79" s="2" t="s">
        <v>43</v>
      </c>
      <c r="F79" s="2" t="s">
        <v>22</v>
      </c>
      <c r="G79" s="2">
        <v>21</v>
      </c>
      <c r="H79" s="2" t="s">
        <v>23</v>
      </c>
      <c r="I79" s="2">
        <v>19</v>
      </c>
      <c r="J79" s="2">
        <v>18</v>
      </c>
      <c r="K79" s="2">
        <v>1</v>
      </c>
      <c r="L79" s="2">
        <v>7</v>
      </c>
      <c r="M79" s="2">
        <v>7.4</v>
      </c>
      <c r="N79" s="2">
        <v>0.4</v>
      </c>
      <c r="O79" s="3">
        <v>0.91100000000000003</v>
      </c>
      <c r="P79" s="3">
        <v>0.86099999999999999</v>
      </c>
      <c r="Q79" s="3">
        <v>0.89100000000000001</v>
      </c>
      <c r="R79" s="2" t="s">
        <v>50</v>
      </c>
    </row>
    <row r="80" spans="1:18" x14ac:dyDescent="0.3">
      <c r="A80" s="1">
        <v>46199</v>
      </c>
      <c r="B80" s="2" t="s">
        <v>79</v>
      </c>
      <c r="C80" s="2" t="s">
        <v>47</v>
      </c>
      <c r="D80" s="2" t="s">
        <v>48</v>
      </c>
      <c r="E80" s="2" t="s">
        <v>49</v>
      </c>
      <c r="F80" s="2" t="s">
        <v>38</v>
      </c>
      <c r="G80" s="2">
        <v>22</v>
      </c>
      <c r="H80" s="2" t="s">
        <v>23</v>
      </c>
      <c r="I80" s="2">
        <v>10</v>
      </c>
      <c r="J80" s="2">
        <v>8</v>
      </c>
      <c r="K80" s="2">
        <v>2</v>
      </c>
      <c r="L80" s="2">
        <v>7</v>
      </c>
      <c r="M80" s="2">
        <v>6.4</v>
      </c>
      <c r="N80" s="2">
        <v>0</v>
      </c>
      <c r="O80" s="3">
        <v>0.78100000000000003</v>
      </c>
      <c r="P80" s="3">
        <v>0.69499999999999995</v>
      </c>
      <c r="Q80" s="3">
        <v>0.747</v>
      </c>
      <c r="R80" s="2" t="s">
        <v>74</v>
      </c>
    </row>
    <row r="81" spans="1:18" x14ac:dyDescent="0.3">
      <c r="A81" s="1">
        <v>46201</v>
      </c>
      <c r="B81" s="2" t="s">
        <v>79</v>
      </c>
      <c r="C81" s="2" t="s">
        <v>51</v>
      </c>
      <c r="D81" s="2" t="s">
        <v>52</v>
      </c>
      <c r="E81" s="2" t="s">
        <v>49</v>
      </c>
      <c r="F81" s="2" t="s">
        <v>32</v>
      </c>
      <c r="G81" s="2">
        <v>20</v>
      </c>
      <c r="H81" s="2" t="s">
        <v>23</v>
      </c>
      <c r="I81" s="2">
        <v>14</v>
      </c>
      <c r="J81" s="2">
        <v>14</v>
      </c>
      <c r="K81" s="2">
        <v>0</v>
      </c>
      <c r="L81" s="2">
        <v>8</v>
      </c>
      <c r="M81" s="2">
        <v>8.6</v>
      </c>
      <c r="N81" s="2">
        <v>0.6</v>
      </c>
      <c r="O81" s="3">
        <v>1</v>
      </c>
      <c r="P81" s="3">
        <v>0.97099999999999997</v>
      </c>
      <c r="Q81" s="3">
        <v>0.98799999999999999</v>
      </c>
      <c r="R81" s="2" t="s">
        <v>24</v>
      </c>
    </row>
    <row r="82" spans="1:18" x14ac:dyDescent="0.3">
      <c r="A82" s="1">
        <v>46203</v>
      </c>
      <c r="B82" s="2" t="s">
        <v>79</v>
      </c>
      <c r="C82" s="2" t="s">
        <v>72</v>
      </c>
      <c r="D82" s="2" t="s">
        <v>73</v>
      </c>
      <c r="E82" s="2" t="s">
        <v>55</v>
      </c>
      <c r="F82" s="2" t="s">
        <v>27</v>
      </c>
      <c r="G82" s="2">
        <v>20</v>
      </c>
      <c r="H82" s="2" t="s">
        <v>23</v>
      </c>
      <c r="I82" s="2">
        <v>14</v>
      </c>
      <c r="J82" s="2">
        <v>17</v>
      </c>
      <c r="K82" s="2">
        <v>0</v>
      </c>
      <c r="L82" s="2">
        <v>9</v>
      </c>
      <c r="M82" s="2">
        <v>9.1</v>
      </c>
      <c r="N82" s="2">
        <v>0.1</v>
      </c>
      <c r="O82" s="3">
        <v>1</v>
      </c>
      <c r="P82" s="3">
        <v>0.88400000000000001</v>
      </c>
      <c r="Q82" s="3">
        <v>0.95399999999999996</v>
      </c>
      <c r="R82" s="2" t="s">
        <v>24</v>
      </c>
    </row>
    <row r="83" spans="1:18" x14ac:dyDescent="0.3">
      <c r="A83" s="1">
        <v>46205</v>
      </c>
      <c r="B83" s="2" t="s">
        <v>80</v>
      </c>
      <c r="C83" s="2" t="s">
        <v>53</v>
      </c>
      <c r="D83" s="2" t="s">
        <v>54</v>
      </c>
      <c r="E83" s="2" t="s">
        <v>55</v>
      </c>
      <c r="F83" s="2" t="s">
        <v>22</v>
      </c>
      <c r="G83" s="2">
        <v>22</v>
      </c>
      <c r="H83" s="2" t="s">
        <v>23</v>
      </c>
      <c r="I83" s="2">
        <v>15</v>
      </c>
      <c r="J83" s="2">
        <v>12</v>
      </c>
      <c r="K83" s="2">
        <v>3</v>
      </c>
      <c r="L83" s="2">
        <v>8</v>
      </c>
      <c r="M83" s="2">
        <v>9.1</v>
      </c>
      <c r="N83" s="2">
        <v>1.1000000000000001</v>
      </c>
      <c r="O83" s="3">
        <v>0.76800000000000002</v>
      </c>
      <c r="P83" s="3">
        <v>0.73399999999999999</v>
      </c>
      <c r="Q83" s="3">
        <v>0.754</v>
      </c>
      <c r="R83" s="2" t="s">
        <v>50</v>
      </c>
    </row>
    <row r="84" spans="1:18" x14ac:dyDescent="0.3">
      <c r="A84" s="1">
        <v>46209</v>
      </c>
      <c r="B84" s="2" t="s">
        <v>80</v>
      </c>
      <c r="C84" s="2" t="s">
        <v>58</v>
      </c>
      <c r="D84" s="2" t="s">
        <v>59</v>
      </c>
      <c r="E84" s="2" t="s">
        <v>31</v>
      </c>
      <c r="F84" s="2" t="s">
        <v>27</v>
      </c>
      <c r="G84" s="2">
        <v>21</v>
      </c>
      <c r="H84" s="2" t="s">
        <v>23</v>
      </c>
      <c r="I84" s="2">
        <v>12</v>
      </c>
      <c r="J84" s="2">
        <v>12</v>
      </c>
      <c r="K84" s="2">
        <v>0</v>
      </c>
      <c r="L84" s="2">
        <v>8</v>
      </c>
      <c r="M84" s="2">
        <v>7.6</v>
      </c>
      <c r="N84" s="2">
        <v>0</v>
      </c>
      <c r="O84" s="3">
        <v>0.92500000000000004</v>
      </c>
      <c r="P84" s="3">
        <v>0.879</v>
      </c>
      <c r="Q84" s="3">
        <v>0.90700000000000003</v>
      </c>
      <c r="R84" s="2" t="s">
        <v>24</v>
      </c>
    </row>
    <row r="85" spans="1:18" x14ac:dyDescent="0.3">
      <c r="A85" s="1">
        <v>46211</v>
      </c>
      <c r="B85" s="2" t="s">
        <v>80</v>
      </c>
      <c r="C85" s="2" t="s">
        <v>60</v>
      </c>
      <c r="D85" s="2" t="s">
        <v>61</v>
      </c>
      <c r="E85" s="2" t="s">
        <v>37</v>
      </c>
      <c r="F85" s="2" t="s">
        <v>32</v>
      </c>
      <c r="G85" s="2">
        <v>22</v>
      </c>
      <c r="H85" s="2" t="s">
        <v>23</v>
      </c>
      <c r="I85" s="2">
        <v>19</v>
      </c>
      <c r="J85" s="2">
        <v>17</v>
      </c>
      <c r="K85" s="2">
        <v>2</v>
      </c>
      <c r="L85" s="2">
        <v>8</v>
      </c>
      <c r="M85" s="2">
        <v>7.6</v>
      </c>
      <c r="N85" s="2">
        <v>0</v>
      </c>
      <c r="O85" s="3">
        <v>0.96199999999999997</v>
      </c>
      <c r="P85" s="3">
        <v>1</v>
      </c>
      <c r="Q85" s="3">
        <v>0.97699999999999998</v>
      </c>
      <c r="R85" s="2" t="s">
        <v>24</v>
      </c>
    </row>
    <row r="86" spans="1:18" x14ac:dyDescent="0.3">
      <c r="A86" s="1">
        <v>46213</v>
      </c>
      <c r="B86" s="2" t="s">
        <v>80</v>
      </c>
      <c r="C86" s="2" t="s">
        <v>62</v>
      </c>
      <c r="D86" s="2" t="s">
        <v>63</v>
      </c>
      <c r="E86" s="2" t="s">
        <v>43</v>
      </c>
      <c r="F86" s="2" t="s">
        <v>38</v>
      </c>
      <c r="G86" s="2">
        <v>22</v>
      </c>
      <c r="H86" s="2" t="s">
        <v>23</v>
      </c>
      <c r="I86" s="2">
        <v>14</v>
      </c>
      <c r="J86" s="2">
        <v>15</v>
      </c>
      <c r="K86" s="2">
        <v>30</v>
      </c>
      <c r="L86" s="2">
        <v>9</v>
      </c>
      <c r="M86" s="2">
        <v>7.4</v>
      </c>
      <c r="N86" s="2">
        <v>0</v>
      </c>
      <c r="O86" s="3">
        <v>1</v>
      </c>
      <c r="P86" s="3">
        <v>0.89800000000000002</v>
      </c>
      <c r="Q86" s="3">
        <v>0.95899999999999996</v>
      </c>
      <c r="R86" s="2" t="s">
        <v>24</v>
      </c>
    </row>
    <row r="87" spans="1:18" x14ac:dyDescent="0.3">
      <c r="A87" s="1">
        <v>46215</v>
      </c>
      <c r="B87" s="2" t="s">
        <v>80</v>
      </c>
      <c r="C87" s="2" t="s">
        <v>65</v>
      </c>
      <c r="D87" s="2" t="s">
        <v>66</v>
      </c>
      <c r="E87" s="2" t="s">
        <v>49</v>
      </c>
      <c r="F87" s="2" t="s">
        <v>22</v>
      </c>
      <c r="G87" s="2">
        <v>21</v>
      </c>
      <c r="H87" s="2" t="s">
        <v>23</v>
      </c>
      <c r="I87" s="2">
        <v>15</v>
      </c>
      <c r="J87" s="2">
        <v>13</v>
      </c>
      <c r="K87" s="2">
        <v>2</v>
      </c>
      <c r="L87" s="2">
        <v>7</v>
      </c>
      <c r="M87" s="2">
        <v>7.3</v>
      </c>
      <c r="N87" s="2">
        <v>0.3</v>
      </c>
      <c r="O87" s="3">
        <v>0.82799999999999996</v>
      </c>
      <c r="P87" s="3">
        <v>0.78</v>
      </c>
      <c r="Q87" s="3">
        <v>0.80900000000000005</v>
      </c>
      <c r="R87" s="2" t="s">
        <v>50</v>
      </c>
    </row>
    <row r="88" spans="1:18" x14ac:dyDescent="0.3">
      <c r="A88" s="1">
        <v>46217</v>
      </c>
      <c r="B88" s="2" t="s">
        <v>80</v>
      </c>
      <c r="C88" s="2" t="s">
        <v>67</v>
      </c>
      <c r="D88" s="2" t="s">
        <v>68</v>
      </c>
      <c r="E88" s="2" t="s">
        <v>55</v>
      </c>
      <c r="F88" s="2" t="s">
        <v>32</v>
      </c>
      <c r="G88" s="2">
        <v>21</v>
      </c>
      <c r="H88" s="2" t="s">
        <v>23</v>
      </c>
      <c r="I88" s="2">
        <v>13</v>
      </c>
      <c r="J88" s="2">
        <v>16</v>
      </c>
      <c r="K88" s="2">
        <v>0</v>
      </c>
      <c r="L88" s="2">
        <v>8</v>
      </c>
      <c r="M88" s="2">
        <v>8.3000000000000007</v>
      </c>
      <c r="N88" s="2">
        <v>0.3</v>
      </c>
      <c r="O88" s="3">
        <v>1</v>
      </c>
      <c r="P88" s="3">
        <v>1</v>
      </c>
      <c r="Q88" s="3">
        <v>1</v>
      </c>
      <c r="R88" s="2" t="s">
        <v>24</v>
      </c>
    </row>
    <row r="89" spans="1:18" x14ac:dyDescent="0.3">
      <c r="A89" s="1">
        <v>46219</v>
      </c>
      <c r="B89" s="2" t="s">
        <v>80</v>
      </c>
      <c r="C89" s="2" t="s">
        <v>76</v>
      </c>
      <c r="D89" s="2" t="s">
        <v>77</v>
      </c>
      <c r="E89" s="2" t="s">
        <v>21</v>
      </c>
      <c r="F89" s="2" t="s">
        <v>27</v>
      </c>
      <c r="G89" s="2">
        <v>21</v>
      </c>
      <c r="H89" s="2" t="s">
        <v>23</v>
      </c>
      <c r="I89" s="2">
        <v>9</v>
      </c>
      <c r="J89" s="2">
        <v>9</v>
      </c>
      <c r="K89" s="2">
        <v>0</v>
      </c>
      <c r="L89" s="2">
        <v>7</v>
      </c>
      <c r="M89" s="2">
        <v>7</v>
      </c>
      <c r="N89" s="2">
        <v>0</v>
      </c>
      <c r="O89" s="3">
        <v>1</v>
      </c>
      <c r="P89" s="3">
        <v>0.89100000000000001</v>
      </c>
      <c r="Q89" s="3">
        <v>0.95599999999999996</v>
      </c>
      <c r="R89" s="2" t="s">
        <v>24</v>
      </c>
    </row>
    <row r="90" spans="1:18" x14ac:dyDescent="0.3">
      <c r="A90" s="4">
        <v>46221</v>
      </c>
      <c r="B90" s="5" t="s">
        <v>80</v>
      </c>
      <c r="C90" s="5" t="s">
        <v>69</v>
      </c>
      <c r="D90" s="5" t="s">
        <v>70</v>
      </c>
      <c r="E90" s="5" t="s">
        <v>31</v>
      </c>
      <c r="F90" s="5" t="s">
        <v>38</v>
      </c>
      <c r="G90" s="5">
        <v>21</v>
      </c>
      <c r="H90" s="5" t="s">
        <v>23</v>
      </c>
      <c r="I90" s="5">
        <v>18</v>
      </c>
      <c r="J90" s="5">
        <v>15</v>
      </c>
      <c r="K90" s="5">
        <v>3</v>
      </c>
      <c r="L90" s="5">
        <v>9</v>
      </c>
      <c r="M90" s="5">
        <v>8.6999999999999993</v>
      </c>
      <c r="N90" s="5">
        <v>0</v>
      </c>
      <c r="O90" s="6">
        <v>0.76</v>
      </c>
      <c r="P90" s="6">
        <v>0.64700000000000002</v>
      </c>
      <c r="Q90" s="6">
        <v>0.71499999999999997</v>
      </c>
      <c r="R90" s="5" t="s">
        <v>74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Yashi Shukla</cp:lastModifiedBy>
  <dcterms:created xsi:type="dcterms:W3CDTF">2026-09-09T09:25:33Z</dcterms:created>
  <dcterms:modified xsi:type="dcterms:W3CDTF">2026-10-06T17:41:53Z</dcterms:modified>
</cp:coreProperties>
</file>